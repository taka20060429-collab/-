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539940310450/WOPIServiceId_TP_BOX_2/WOPIUserId_-/"/>
    </mc:Choice>
  </mc:AlternateContent>
  <xr:revisionPtr revIDLastSave="591" documentId="8_{66B44131-EDD1-4044-8067-DC8BDF2652EA}" xr6:coauthVersionLast="47" xr6:coauthVersionMax="47" xr10:uidLastSave="{CDE5730E-F9C8-443C-A57F-6A94E7C422C9}"/>
  <bookViews>
    <workbookView xWindow="-110" yWindow="-110" windowWidth="19420" windowHeight="11500" xr2:uid="{E1CC90C9-374E-495B-B1F9-D7CDCFF33F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90" i="1" l="1"/>
  <c r="Q91" i="1"/>
  <c r="Q89" i="1"/>
  <c r="P84" i="1"/>
  <c r="Q84" i="1" s="1"/>
  <c r="P83" i="1"/>
  <c r="Q83" i="1" s="1"/>
  <c r="P82" i="1"/>
  <c r="Q82" i="1" s="1"/>
  <c r="P81" i="1"/>
  <c r="Q81" i="1" s="1"/>
  <c r="P80" i="1"/>
  <c r="Q80" i="1" s="1"/>
  <c r="P79" i="1"/>
  <c r="Q79" i="1" s="1"/>
  <c r="P78" i="1"/>
  <c r="Q78" i="1" s="1"/>
  <c r="P77" i="1"/>
  <c r="Q77" i="1" s="1"/>
  <c r="P76" i="1"/>
  <c r="Q76" i="1" s="1"/>
  <c r="P75" i="1"/>
  <c r="Q75" i="1" s="1"/>
  <c r="P74" i="1"/>
  <c r="Q74" i="1" s="1"/>
  <c r="P73" i="1"/>
  <c r="Q73" i="1" s="1"/>
  <c r="P72" i="1"/>
  <c r="Q72" i="1" s="1"/>
  <c r="P71" i="1"/>
  <c r="Q71" i="1" s="1"/>
  <c r="P70" i="1"/>
  <c r="Q70" i="1" s="1"/>
  <c r="P69" i="1"/>
  <c r="Q69" i="1" s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6" i="1"/>
  <c r="L27" i="1"/>
  <c r="L28" i="1"/>
  <c r="L29" i="1"/>
  <c r="L30" i="1"/>
  <c r="L8" i="1"/>
  <c r="L7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V79" i="1"/>
  <c r="V78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" i="1"/>
  <c r="L25" i="1"/>
</calcChain>
</file>

<file path=xl/sharedStrings.xml><?xml version="1.0" encoding="utf-8"?>
<sst xmlns="http://schemas.openxmlformats.org/spreadsheetml/2006/main" count="59" uniqueCount="20">
  <si>
    <t>電流[A]</t>
    <rPh sb="0" eb="2">
      <t>デンリュウ</t>
    </rPh>
    <phoneticPr fontId="1"/>
  </si>
  <si>
    <t>磁束密度[T]</t>
    <rPh sb="0" eb="4">
      <t>ジソクミツド</t>
    </rPh>
    <phoneticPr fontId="1"/>
  </si>
  <si>
    <t>試料棒なし</t>
    <rPh sb="0" eb="3">
      <t>シリョウボウ</t>
    </rPh>
    <phoneticPr fontId="1"/>
  </si>
  <si>
    <t>純鉄</t>
    <rPh sb="0" eb="2">
      <t>ジュンテツ</t>
    </rPh>
    <phoneticPr fontId="1"/>
  </si>
  <si>
    <t>アルニコ</t>
    <phoneticPr fontId="1"/>
  </si>
  <si>
    <t>試験棒なし</t>
    <rPh sb="0" eb="3">
      <t>シケンボウ</t>
    </rPh>
    <phoneticPr fontId="1"/>
  </si>
  <si>
    <t>電流[A]</t>
  </si>
  <si>
    <t>磁束密度[T]</t>
  </si>
  <si>
    <t>磁束[A/m]</t>
    <rPh sb="0" eb="2">
      <t>ジソク</t>
    </rPh>
    <phoneticPr fontId="1"/>
  </si>
  <si>
    <t>保磁力[A/m]</t>
    <rPh sb="0" eb="1">
      <t>ホ</t>
    </rPh>
    <rPh sb="1" eb="3">
      <t>ジリョク</t>
    </rPh>
    <phoneticPr fontId="1"/>
  </si>
  <si>
    <t>残留磁束密度[T]</t>
    <rPh sb="0" eb="6">
      <t>ザンリュウジソクミツド</t>
    </rPh>
    <phoneticPr fontId="1"/>
  </si>
  <si>
    <t>飽和磁束密度[T]</t>
    <rPh sb="0" eb="6">
      <t>ホウワジソクミツド</t>
    </rPh>
    <phoneticPr fontId="1"/>
  </si>
  <si>
    <t>正</t>
    <rPh sb="0" eb="1">
      <t>セイ</t>
    </rPh>
    <phoneticPr fontId="1"/>
  </si>
  <si>
    <t>負</t>
    <rPh sb="0" eb="1">
      <t>フ</t>
    </rPh>
    <phoneticPr fontId="1"/>
  </si>
  <si>
    <t>透磁率[H/m]</t>
    <rPh sb="0" eb="3">
      <t>トウジリツ</t>
    </rPh>
    <phoneticPr fontId="1"/>
  </si>
  <si>
    <t>磁界[A/m]</t>
    <rPh sb="0" eb="2">
      <t>ジカイ</t>
    </rPh>
    <phoneticPr fontId="1"/>
  </si>
  <si>
    <r>
      <t>透磁率[10</t>
    </r>
    <r>
      <rPr>
        <vertAlign val="superscript"/>
        <sz val="11"/>
        <color theme="1"/>
        <rFont val="游ゴシック"/>
        <family val="3"/>
        <charset val="128"/>
        <scheme val="minor"/>
      </rPr>
      <t>-6</t>
    </r>
    <r>
      <rPr>
        <sz val="11"/>
        <color theme="1"/>
        <rFont val="游ゴシック"/>
        <family val="2"/>
        <charset val="128"/>
        <scheme val="minor"/>
      </rPr>
      <t>H/m]</t>
    </r>
    <rPh sb="0" eb="3">
      <t>トウジリツ</t>
    </rPh>
    <phoneticPr fontId="1"/>
  </si>
  <si>
    <r>
      <t>磁束密度B</t>
    </r>
    <r>
      <rPr>
        <vertAlign val="subscript"/>
        <sz val="11"/>
        <color theme="1"/>
        <rFont val="游ゴシック"/>
        <family val="3"/>
        <charset val="128"/>
        <scheme val="minor"/>
      </rPr>
      <t>0</t>
    </r>
    <r>
      <rPr>
        <sz val="11"/>
        <color theme="1"/>
        <rFont val="游ゴシック"/>
        <family val="2"/>
        <charset val="128"/>
        <scheme val="minor"/>
      </rPr>
      <t>[T]</t>
    </r>
    <rPh sb="0" eb="4">
      <t>ジソクミツド</t>
    </rPh>
    <phoneticPr fontId="1"/>
  </si>
  <si>
    <t>磁束密度B[T]</t>
    <rPh sb="0" eb="4">
      <t>ジソクミツド</t>
    </rPh>
    <phoneticPr fontId="1"/>
  </si>
  <si>
    <r>
      <t>透磁率μ</t>
    </r>
    <r>
      <rPr>
        <vertAlign val="subscript"/>
        <sz val="11"/>
        <color theme="1"/>
        <rFont val="游ゴシック"/>
        <family val="3"/>
        <charset val="128"/>
        <scheme val="minor"/>
      </rPr>
      <t>r</t>
    </r>
    <rPh sb="0" eb="3">
      <t>トウジリツ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</si>
</sst>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vertAlign val="superscript"/>
      <sz val="11"/>
      <color theme="1"/>
      <name val="游ゴシック"/>
      <family val="3"/>
      <charset val="128"/>
      <scheme val="minor"/>
    </font>
    <font>
      <vertAlign val="subscript"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 style="thin">
        <color auto="1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177" fontId="0" fillId="0" borderId="25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6" fontId="0" fillId="0" borderId="2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0" fillId="0" borderId="28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磁束密度増加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Sheet1!$C$7:$C$20</c:f>
              <c:numCache>
                <c:formatCode>0.0</c:formatCode>
                <c:ptCount val="14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1.5</c:v>
                </c:pt>
                <c:pt idx="7">
                  <c:v>2</c:v>
                </c:pt>
                <c:pt idx="8">
                  <c:v>2.5</c:v>
                </c:pt>
                <c:pt idx="9">
                  <c:v>3</c:v>
                </c:pt>
                <c:pt idx="10">
                  <c:v>3.5</c:v>
                </c:pt>
                <c:pt idx="11">
                  <c:v>4</c:v>
                </c:pt>
                <c:pt idx="12">
                  <c:v>4.5</c:v>
                </c:pt>
                <c:pt idx="13">
                  <c:v>5</c:v>
                </c:pt>
              </c:numCache>
            </c:numRef>
          </c:xVal>
          <c:yVal>
            <c:numRef>
              <c:f>Sheet1!$D$7:$D$20</c:f>
              <c:numCache>
                <c:formatCode>0.000</c:formatCode>
                <c:ptCount val="1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10-4576-950C-C1437684DF28}"/>
            </c:ext>
          </c:extLst>
        </c:ser>
        <c:ser>
          <c:idx val="1"/>
          <c:order val="1"/>
          <c:tx>
            <c:v>磁束密度減少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Sheet1!$C$21:$C$40</c:f>
              <c:numCache>
                <c:formatCode>0.0</c:formatCode>
                <c:ptCount val="20"/>
                <c:pt idx="0">
                  <c:v>4.5</c:v>
                </c:pt>
                <c:pt idx="1">
                  <c:v>4</c:v>
                </c:pt>
                <c:pt idx="2">
                  <c:v>3.5</c:v>
                </c:pt>
                <c:pt idx="3">
                  <c:v>3</c:v>
                </c:pt>
                <c:pt idx="4">
                  <c:v>2.5</c:v>
                </c:pt>
                <c:pt idx="5">
                  <c:v>2</c:v>
                </c:pt>
                <c:pt idx="6">
                  <c:v>1.5</c:v>
                </c:pt>
                <c:pt idx="7">
                  <c:v>1</c:v>
                </c:pt>
                <c:pt idx="8">
                  <c:v>0.5</c:v>
                </c:pt>
                <c:pt idx="9">
                  <c:v>0</c:v>
                </c:pt>
                <c:pt idx="10">
                  <c:v>-0.5</c:v>
                </c:pt>
                <c:pt idx="11">
                  <c:v>-1</c:v>
                </c:pt>
                <c:pt idx="12">
                  <c:v>-1.5</c:v>
                </c:pt>
                <c:pt idx="13">
                  <c:v>-2</c:v>
                </c:pt>
                <c:pt idx="14">
                  <c:v>-2.5</c:v>
                </c:pt>
                <c:pt idx="15">
                  <c:v>-3</c:v>
                </c:pt>
                <c:pt idx="16">
                  <c:v>-3.5</c:v>
                </c:pt>
                <c:pt idx="17">
                  <c:v>-4</c:v>
                </c:pt>
                <c:pt idx="18">
                  <c:v>-4.5</c:v>
                </c:pt>
                <c:pt idx="19">
                  <c:v>-5</c:v>
                </c:pt>
              </c:numCache>
            </c:numRef>
          </c:xVal>
          <c:yVal>
            <c:numRef>
              <c:f>Sheet1!$D$21:$D$40</c:f>
              <c:numCache>
                <c:formatCode>0.000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610-4576-950C-C1437684DF28}"/>
            </c:ext>
          </c:extLst>
        </c:ser>
        <c:ser>
          <c:idx val="2"/>
          <c:order val="2"/>
          <c:tx>
            <c:v>磁束密度再増加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Sheet1!$C$41:$C$60</c:f>
              <c:numCache>
                <c:formatCode>0.0</c:formatCode>
                <c:ptCount val="20"/>
                <c:pt idx="0">
                  <c:v>-4.5</c:v>
                </c:pt>
                <c:pt idx="1">
                  <c:v>-4</c:v>
                </c:pt>
                <c:pt idx="2">
                  <c:v>-3.5</c:v>
                </c:pt>
                <c:pt idx="3">
                  <c:v>-3</c:v>
                </c:pt>
                <c:pt idx="4">
                  <c:v>-2.5</c:v>
                </c:pt>
                <c:pt idx="5">
                  <c:v>-2</c:v>
                </c:pt>
                <c:pt idx="6">
                  <c:v>-1.5</c:v>
                </c:pt>
                <c:pt idx="7">
                  <c:v>-1</c:v>
                </c:pt>
                <c:pt idx="8">
                  <c:v>-0.5</c:v>
                </c:pt>
                <c:pt idx="9">
                  <c:v>0</c:v>
                </c:pt>
                <c:pt idx="10">
                  <c:v>0.5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2.5</c:v>
                </c:pt>
                <c:pt idx="15">
                  <c:v>3</c:v>
                </c:pt>
                <c:pt idx="16">
                  <c:v>3.5</c:v>
                </c:pt>
                <c:pt idx="17">
                  <c:v>4</c:v>
                </c:pt>
                <c:pt idx="18">
                  <c:v>4.5</c:v>
                </c:pt>
                <c:pt idx="19">
                  <c:v>5</c:v>
                </c:pt>
              </c:numCache>
            </c:numRef>
          </c:xVal>
          <c:yVal>
            <c:numRef>
              <c:f>Sheet1!$D$41:$D$60</c:f>
              <c:numCache>
                <c:formatCode>0.000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610-4576-950C-C1437684D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89903"/>
        <c:axId val="14809423"/>
      </c:scatterChart>
      <c:valAx>
        <c:axId val="12789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電流</a:t>
                </a:r>
                <a:r>
                  <a:rPr lang="en-US" altLang="ja-JP">
                    <a:solidFill>
                      <a:schemeClr val="tx1"/>
                    </a:solidFill>
                  </a:rPr>
                  <a:t>[A]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809423"/>
        <c:crossesAt val="-8.0000000000000016E-2"/>
        <c:crossBetween val="midCat"/>
      </c:valAx>
      <c:valAx>
        <c:axId val="148094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磁束密度</a:t>
                </a:r>
                <a:r>
                  <a:rPr lang="en-US" altLang="ja-JP">
                    <a:solidFill>
                      <a:schemeClr val="tx1"/>
                    </a:solidFill>
                  </a:rPr>
                  <a:t>[T]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89903"/>
        <c:crossesAt val="-6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磁束密度増加</c:v>
          </c:tx>
          <c:spPr>
            <a:ln w="3810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Sheet1!$I$7:$I$23</c:f>
              <c:numCache>
                <c:formatCode>0.0</c:formatCode>
                <c:ptCount val="17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1.5</c:v>
                </c:pt>
                <c:pt idx="7">
                  <c:v>2</c:v>
                </c:pt>
                <c:pt idx="8">
                  <c:v>2.5</c:v>
                </c:pt>
                <c:pt idx="9">
                  <c:v>3</c:v>
                </c:pt>
                <c:pt idx="10">
                  <c:v>3.5</c:v>
                </c:pt>
                <c:pt idx="11">
                  <c:v>4</c:v>
                </c:pt>
                <c:pt idx="12">
                  <c:v>4.5</c:v>
                </c:pt>
                <c:pt idx="13">
                  <c:v>5</c:v>
                </c:pt>
                <c:pt idx="14">
                  <c:v>5.5</c:v>
                </c:pt>
                <c:pt idx="15">
                  <c:v>6</c:v>
                </c:pt>
                <c:pt idx="16">
                  <c:v>6.5</c:v>
                </c:pt>
              </c:numCache>
            </c:numRef>
          </c:xVal>
          <c:yVal>
            <c:numRef>
              <c:f>Sheet1!$J$7:$J$23</c:f>
              <c:numCache>
                <c:formatCode>0.000</c:formatCode>
                <c:ptCount val="17"/>
                <c:pt idx="0">
                  <c:v>0</c:v>
                </c:pt>
                <c:pt idx="1">
                  <c:v>7.0000000000000001E-3</c:v>
                </c:pt>
                <c:pt idx="2">
                  <c:v>1.2E-2</c:v>
                </c:pt>
                <c:pt idx="3">
                  <c:v>1.9E-2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4.9000000000000002E-2</c:v>
                </c:pt>
                <c:pt idx="7">
                  <c:v>6.2E-2</c:v>
                </c:pt>
                <c:pt idx="8">
                  <c:v>7.1999999999999995E-2</c:v>
                </c:pt>
                <c:pt idx="9">
                  <c:v>9.2999999999999999E-2</c:v>
                </c:pt>
                <c:pt idx="10">
                  <c:v>0.12</c:v>
                </c:pt>
                <c:pt idx="11">
                  <c:v>0.14000000000000001</c:v>
                </c:pt>
                <c:pt idx="12">
                  <c:v>0.21</c:v>
                </c:pt>
                <c:pt idx="13">
                  <c:v>0.28999999999999998</c:v>
                </c:pt>
                <c:pt idx="14">
                  <c:v>0.32</c:v>
                </c:pt>
                <c:pt idx="15">
                  <c:v>0.4</c:v>
                </c:pt>
                <c:pt idx="16">
                  <c:v>0.499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42-48C4-9F6D-E23EFE66BA9C}"/>
            </c:ext>
          </c:extLst>
        </c:ser>
        <c:ser>
          <c:idx val="1"/>
          <c:order val="1"/>
          <c:tx>
            <c:v>磁束密度減少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Sheet1!$I$24:$I$49</c:f>
              <c:numCache>
                <c:formatCode>0.0</c:formatCode>
                <c:ptCount val="26"/>
                <c:pt idx="0">
                  <c:v>6</c:v>
                </c:pt>
                <c:pt idx="1">
                  <c:v>5.5</c:v>
                </c:pt>
                <c:pt idx="2">
                  <c:v>5</c:v>
                </c:pt>
                <c:pt idx="3">
                  <c:v>4.5</c:v>
                </c:pt>
                <c:pt idx="4">
                  <c:v>4</c:v>
                </c:pt>
                <c:pt idx="5">
                  <c:v>3.5</c:v>
                </c:pt>
                <c:pt idx="6">
                  <c:v>3</c:v>
                </c:pt>
                <c:pt idx="7">
                  <c:v>2.5</c:v>
                </c:pt>
                <c:pt idx="8">
                  <c:v>2</c:v>
                </c:pt>
                <c:pt idx="9">
                  <c:v>1.5</c:v>
                </c:pt>
                <c:pt idx="10">
                  <c:v>1</c:v>
                </c:pt>
                <c:pt idx="11">
                  <c:v>0.5</c:v>
                </c:pt>
                <c:pt idx="12">
                  <c:v>0</c:v>
                </c:pt>
                <c:pt idx="13">
                  <c:v>-0.5</c:v>
                </c:pt>
                <c:pt idx="14">
                  <c:v>-1</c:v>
                </c:pt>
                <c:pt idx="15">
                  <c:v>-1.5</c:v>
                </c:pt>
                <c:pt idx="16">
                  <c:v>-2</c:v>
                </c:pt>
                <c:pt idx="17">
                  <c:v>-2.5</c:v>
                </c:pt>
                <c:pt idx="18">
                  <c:v>-3</c:v>
                </c:pt>
                <c:pt idx="19">
                  <c:v>-3.5</c:v>
                </c:pt>
                <c:pt idx="20">
                  <c:v>-4</c:v>
                </c:pt>
                <c:pt idx="21">
                  <c:v>-4.5</c:v>
                </c:pt>
                <c:pt idx="22">
                  <c:v>-5</c:v>
                </c:pt>
                <c:pt idx="23">
                  <c:v>-5.5</c:v>
                </c:pt>
                <c:pt idx="24">
                  <c:v>-6</c:v>
                </c:pt>
                <c:pt idx="25">
                  <c:v>-6.5</c:v>
                </c:pt>
              </c:numCache>
            </c:numRef>
          </c:xVal>
          <c:yVal>
            <c:numRef>
              <c:f>Sheet1!$J$24:$J$49</c:f>
              <c:numCache>
                <c:formatCode>0.000</c:formatCode>
                <c:ptCount val="26"/>
                <c:pt idx="0">
                  <c:v>0.49</c:v>
                </c:pt>
                <c:pt idx="1">
                  <c:v>0.48</c:v>
                </c:pt>
                <c:pt idx="2">
                  <c:v>0.46500000000000002</c:v>
                </c:pt>
                <c:pt idx="3">
                  <c:v>0.42</c:v>
                </c:pt>
                <c:pt idx="4">
                  <c:v>0.40200000000000002</c:v>
                </c:pt>
                <c:pt idx="5">
                  <c:v>0.40500000000000003</c:v>
                </c:pt>
                <c:pt idx="6">
                  <c:v>0.4</c:v>
                </c:pt>
                <c:pt idx="7">
                  <c:v>0.39</c:v>
                </c:pt>
                <c:pt idx="8">
                  <c:v>0.38</c:v>
                </c:pt>
                <c:pt idx="9">
                  <c:v>0.36</c:v>
                </c:pt>
                <c:pt idx="10">
                  <c:v>0.33</c:v>
                </c:pt>
                <c:pt idx="11">
                  <c:v>0.32</c:v>
                </c:pt>
                <c:pt idx="12">
                  <c:v>0.3</c:v>
                </c:pt>
                <c:pt idx="13">
                  <c:v>0.28999999999999998</c:v>
                </c:pt>
                <c:pt idx="14">
                  <c:v>0.28000000000000003</c:v>
                </c:pt>
                <c:pt idx="15">
                  <c:v>0.26</c:v>
                </c:pt>
                <c:pt idx="16">
                  <c:v>0.23</c:v>
                </c:pt>
                <c:pt idx="17">
                  <c:v>0.20499999999999999</c:v>
                </c:pt>
                <c:pt idx="18">
                  <c:v>0.14000000000000001</c:v>
                </c:pt>
                <c:pt idx="19">
                  <c:v>0.1</c:v>
                </c:pt>
                <c:pt idx="20">
                  <c:v>0.03</c:v>
                </c:pt>
                <c:pt idx="21">
                  <c:v>-0.02</c:v>
                </c:pt>
                <c:pt idx="22">
                  <c:v>-0.12</c:v>
                </c:pt>
                <c:pt idx="23">
                  <c:v>-0.2</c:v>
                </c:pt>
                <c:pt idx="24">
                  <c:v>-0.3</c:v>
                </c:pt>
                <c:pt idx="25">
                  <c:v>-0.39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42-48C4-9F6D-E23EFE66BA9C}"/>
            </c:ext>
          </c:extLst>
        </c:ser>
        <c:ser>
          <c:idx val="2"/>
          <c:order val="2"/>
          <c:tx>
            <c:v>磁束密度再増加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Sheet1!$I$50:$I$75</c:f>
              <c:numCache>
                <c:formatCode>0.0</c:formatCode>
                <c:ptCount val="26"/>
                <c:pt idx="0">
                  <c:v>-6</c:v>
                </c:pt>
                <c:pt idx="1">
                  <c:v>-5.5</c:v>
                </c:pt>
                <c:pt idx="2">
                  <c:v>-5</c:v>
                </c:pt>
                <c:pt idx="3">
                  <c:v>-4.5</c:v>
                </c:pt>
                <c:pt idx="4">
                  <c:v>-4</c:v>
                </c:pt>
                <c:pt idx="5">
                  <c:v>-3.5</c:v>
                </c:pt>
                <c:pt idx="6">
                  <c:v>-3</c:v>
                </c:pt>
                <c:pt idx="7">
                  <c:v>-2.5</c:v>
                </c:pt>
                <c:pt idx="8">
                  <c:v>-2</c:v>
                </c:pt>
                <c:pt idx="9">
                  <c:v>-1.5</c:v>
                </c:pt>
                <c:pt idx="10">
                  <c:v>-1</c:v>
                </c:pt>
                <c:pt idx="11">
                  <c:v>-0.5</c:v>
                </c:pt>
                <c:pt idx="12">
                  <c:v>0</c:v>
                </c:pt>
                <c:pt idx="13">
                  <c:v>0.5</c:v>
                </c:pt>
                <c:pt idx="14">
                  <c:v>1</c:v>
                </c:pt>
                <c:pt idx="15">
                  <c:v>1.5</c:v>
                </c:pt>
                <c:pt idx="16">
                  <c:v>2</c:v>
                </c:pt>
                <c:pt idx="17">
                  <c:v>2.5</c:v>
                </c:pt>
                <c:pt idx="18">
                  <c:v>3</c:v>
                </c:pt>
                <c:pt idx="19">
                  <c:v>3.5</c:v>
                </c:pt>
                <c:pt idx="20">
                  <c:v>4</c:v>
                </c:pt>
                <c:pt idx="21">
                  <c:v>4.5</c:v>
                </c:pt>
                <c:pt idx="22">
                  <c:v>5</c:v>
                </c:pt>
                <c:pt idx="23">
                  <c:v>5.5</c:v>
                </c:pt>
                <c:pt idx="24">
                  <c:v>6</c:v>
                </c:pt>
                <c:pt idx="25">
                  <c:v>6.5</c:v>
                </c:pt>
              </c:numCache>
            </c:numRef>
          </c:xVal>
          <c:yVal>
            <c:numRef>
              <c:f>Sheet1!$J$50:$J$75</c:f>
              <c:numCache>
                <c:formatCode>0.000</c:formatCode>
                <c:ptCount val="26"/>
                <c:pt idx="0">
                  <c:v>-0.37</c:v>
                </c:pt>
                <c:pt idx="1">
                  <c:v>-0.35</c:v>
                </c:pt>
                <c:pt idx="2">
                  <c:v>-0.33</c:v>
                </c:pt>
                <c:pt idx="3">
                  <c:v>-0.315</c:v>
                </c:pt>
                <c:pt idx="4">
                  <c:v>-0.30199999999999999</c:v>
                </c:pt>
                <c:pt idx="5">
                  <c:v>-0.3</c:v>
                </c:pt>
                <c:pt idx="6">
                  <c:v>-0.28999999999999998</c:v>
                </c:pt>
                <c:pt idx="7">
                  <c:v>-0.28000000000000003</c:v>
                </c:pt>
                <c:pt idx="8">
                  <c:v>-0.255</c:v>
                </c:pt>
                <c:pt idx="9">
                  <c:v>-0.22500000000000001</c:v>
                </c:pt>
                <c:pt idx="10">
                  <c:v>-0.217</c:v>
                </c:pt>
                <c:pt idx="11">
                  <c:v>-0.20300000000000001</c:v>
                </c:pt>
                <c:pt idx="12">
                  <c:v>-0.19</c:v>
                </c:pt>
                <c:pt idx="13">
                  <c:v>-0.17</c:v>
                </c:pt>
                <c:pt idx="14">
                  <c:v>-0.16</c:v>
                </c:pt>
                <c:pt idx="15">
                  <c:v>-0.13</c:v>
                </c:pt>
                <c:pt idx="16">
                  <c:v>-0.12</c:v>
                </c:pt>
                <c:pt idx="17">
                  <c:v>-0.1</c:v>
                </c:pt>
                <c:pt idx="18">
                  <c:v>-0.03</c:v>
                </c:pt>
                <c:pt idx="19">
                  <c:v>0.01</c:v>
                </c:pt>
                <c:pt idx="20">
                  <c:v>0.09</c:v>
                </c:pt>
                <c:pt idx="21">
                  <c:v>0.18</c:v>
                </c:pt>
                <c:pt idx="22">
                  <c:v>0.24</c:v>
                </c:pt>
                <c:pt idx="23">
                  <c:v>0.32500000000000001</c:v>
                </c:pt>
                <c:pt idx="24">
                  <c:v>0.41</c:v>
                </c:pt>
                <c:pt idx="25">
                  <c:v>0.505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42-48C4-9F6D-E23EFE66B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97407"/>
        <c:axId val="1926846928"/>
      </c:scatterChart>
      <c:valAx>
        <c:axId val="32497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電流</a:t>
                </a:r>
                <a:r>
                  <a:rPr lang="en-US" altLang="ja-JP">
                    <a:solidFill>
                      <a:schemeClr val="tx1"/>
                    </a:solidFill>
                  </a:rPr>
                  <a:t>[A]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26846928"/>
        <c:crossesAt val="-0.60000000000000009"/>
        <c:crossBetween val="midCat"/>
      </c:valAx>
      <c:valAx>
        <c:axId val="19268469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磁束密度</a:t>
                </a:r>
                <a:r>
                  <a:rPr lang="en-US" altLang="ja-JP">
                    <a:solidFill>
                      <a:schemeClr val="tx1"/>
                    </a:solidFill>
                  </a:rPr>
                  <a:t>[T]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497407"/>
        <c:crossesAt val="-8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磁束密度増加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Sheet1!$K$7:$K$23</c:f>
              <c:numCache>
                <c:formatCode>General</c:formatCode>
                <c:ptCount val="17"/>
                <c:pt idx="0">
                  <c:v>0</c:v>
                </c:pt>
                <c:pt idx="1">
                  <c:v>1838.8000000000002</c:v>
                </c:pt>
                <c:pt idx="2">
                  <c:v>3677.6000000000004</c:v>
                </c:pt>
                <c:pt idx="3">
                  <c:v>5516.4</c:v>
                </c:pt>
                <c:pt idx="4">
                  <c:v>7355.2000000000007</c:v>
                </c:pt>
                <c:pt idx="5">
                  <c:v>9194</c:v>
                </c:pt>
                <c:pt idx="6">
                  <c:v>13791</c:v>
                </c:pt>
                <c:pt idx="7">
                  <c:v>18388</c:v>
                </c:pt>
                <c:pt idx="8">
                  <c:v>22985</c:v>
                </c:pt>
                <c:pt idx="9">
                  <c:v>27582</c:v>
                </c:pt>
                <c:pt idx="10">
                  <c:v>32179</c:v>
                </c:pt>
                <c:pt idx="11">
                  <c:v>36776</c:v>
                </c:pt>
                <c:pt idx="12">
                  <c:v>41373</c:v>
                </c:pt>
                <c:pt idx="13">
                  <c:v>45970</c:v>
                </c:pt>
                <c:pt idx="14">
                  <c:v>50567</c:v>
                </c:pt>
                <c:pt idx="15">
                  <c:v>55164</c:v>
                </c:pt>
                <c:pt idx="16">
                  <c:v>59761</c:v>
                </c:pt>
              </c:numCache>
            </c:numRef>
          </c:xVal>
          <c:yVal>
            <c:numRef>
              <c:f>Sheet1!$J$7:$J$23</c:f>
              <c:numCache>
                <c:formatCode>0.000</c:formatCode>
                <c:ptCount val="17"/>
                <c:pt idx="0">
                  <c:v>0</c:v>
                </c:pt>
                <c:pt idx="1">
                  <c:v>7.0000000000000001E-3</c:v>
                </c:pt>
                <c:pt idx="2">
                  <c:v>1.2E-2</c:v>
                </c:pt>
                <c:pt idx="3">
                  <c:v>1.9E-2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4.9000000000000002E-2</c:v>
                </c:pt>
                <c:pt idx="7">
                  <c:v>6.2E-2</c:v>
                </c:pt>
                <c:pt idx="8">
                  <c:v>7.1999999999999995E-2</c:v>
                </c:pt>
                <c:pt idx="9">
                  <c:v>9.2999999999999999E-2</c:v>
                </c:pt>
                <c:pt idx="10">
                  <c:v>0.12</c:v>
                </c:pt>
                <c:pt idx="11">
                  <c:v>0.14000000000000001</c:v>
                </c:pt>
                <c:pt idx="12">
                  <c:v>0.21</c:v>
                </c:pt>
                <c:pt idx="13">
                  <c:v>0.28999999999999998</c:v>
                </c:pt>
                <c:pt idx="14">
                  <c:v>0.32</c:v>
                </c:pt>
                <c:pt idx="15">
                  <c:v>0.4</c:v>
                </c:pt>
                <c:pt idx="16">
                  <c:v>0.499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61-4EF3-95A3-84CCD00C657D}"/>
            </c:ext>
          </c:extLst>
        </c:ser>
        <c:ser>
          <c:idx val="1"/>
          <c:order val="1"/>
          <c:tx>
            <c:v>磁束密度減少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Sheet1!$K$24:$K$49</c:f>
              <c:numCache>
                <c:formatCode>General</c:formatCode>
                <c:ptCount val="26"/>
                <c:pt idx="0">
                  <c:v>55164</c:v>
                </c:pt>
                <c:pt idx="1">
                  <c:v>50567</c:v>
                </c:pt>
                <c:pt idx="2">
                  <c:v>45970</c:v>
                </c:pt>
                <c:pt idx="3">
                  <c:v>41373</c:v>
                </c:pt>
                <c:pt idx="4">
                  <c:v>36776</c:v>
                </c:pt>
                <c:pt idx="5">
                  <c:v>32179</c:v>
                </c:pt>
                <c:pt idx="6">
                  <c:v>27582</c:v>
                </c:pt>
                <c:pt idx="7">
                  <c:v>22985</c:v>
                </c:pt>
                <c:pt idx="8">
                  <c:v>18388</c:v>
                </c:pt>
                <c:pt idx="9">
                  <c:v>13791</c:v>
                </c:pt>
                <c:pt idx="10">
                  <c:v>9194</c:v>
                </c:pt>
                <c:pt idx="11">
                  <c:v>4597</c:v>
                </c:pt>
                <c:pt idx="12">
                  <c:v>0</c:v>
                </c:pt>
                <c:pt idx="13">
                  <c:v>-4597</c:v>
                </c:pt>
                <c:pt idx="14">
                  <c:v>-9194</c:v>
                </c:pt>
                <c:pt idx="15">
                  <c:v>-13791</c:v>
                </c:pt>
                <c:pt idx="16">
                  <c:v>-18388</c:v>
                </c:pt>
                <c:pt idx="17">
                  <c:v>-22985</c:v>
                </c:pt>
                <c:pt idx="18">
                  <c:v>-27582</c:v>
                </c:pt>
                <c:pt idx="19">
                  <c:v>-32179</c:v>
                </c:pt>
                <c:pt idx="20">
                  <c:v>-36776</c:v>
                </c:pt>
                <c:pt idx="21">
                  <c:v>-41373</c:v>
                </c:pt>
                <c:pt idx="22">
                  <c:v>-45970</c:v>
                </c:pt>
                <c:pt idx="23">
                  <c:v>-50567</c:v>
                </c:pt>
                <c:pt idx="24">
                  <c:v>-55164</c:v>
                </c:pt>
                <c:pt idx="25">
                  <c:v>-59761</c:v>
                </c:pt>
              </c:numCache>
            </c:numRef>
          </c:xVal>
          <c:yVal>
            <c:numRef>
              <c:f>Sheet1!$J$24:$J$49</c:f>
              <c:numCache>
                <c:formatCode>0.000</c:formatCode>
                <c:ptCount val="26"/>
                <c:pt idx="0">
                  <c:v>0.49</c:v>
                </c:pt>
                <c:pt idx="1">
                  <c:v>0.48</c:v>
                </c:pt>
                <c:pt idx="2">
                  <c:v>0.46500000000000002</c:v>
                </c:pt>
                <c:pt idx="3">
                  <c:v>0.42</c:v>
                </c:pt>
                <c:pt idx="4">
                  <c:v>0.40200000000000002</c:v>
                </c:pt>
                <c:pt idx="5">
                  <c:v>0.40500000000000003</c:v>
                </c:pt>
                <c:pt idx="6">
                  <c:v>0.4</c:v>
                </c:pt>
                <c:pt idx="7">
                  <c:v>0.39</c:v>
                </c:pt>
                <c:pt idx="8">
                  <c:v>0.38</c:v>
                </c:pt>
                <c:pt idx="9">
                  <c:v>0.36</c:v>
                </c:pt>
                <c:pt idx="10">
                  <c:v>0.33</c:v>
                </c:pt>
                <c:pt idx="11">
                  <c:v>0.32</c:v>
                </c:pt>
                <c:pt idx="12">
                  <c:v>0.3</c:v>
                </c:pt>
                <c:pt idx="13">
                  <c:v>0.28999999999999998</c:v>
                </c:pt>
                <c:pt idx="14">
                  <c:v>0.28000000000000003</c:v>
                </c:pt>
                <c:pt idx="15">
                  <c:v>0.26</c:v>
                </c:pt>
                <c:pt idx="16">
                  <c:v>0.23</c:v>
                </c:pt>
                <c:pt idx="17">
                  <c:v>0.20499999999999999</c:v>
                </c:pt>
                <c:pt idx="18">
                  <c:v>0.14000000000000001</c:v>
                </c:pt>
                <c:pt idx="19">
                  <c:v>0.1</c:v>
                </c:pt>
                <c:pt idx="20">
                  <c:v>0.03</c:v>
                </c:pt>
                <c:pt idx="21">
                  <c:v>-0.02</c:v>
                </c:pt>
                <c:pt idx="22">
                  <c:v>-0.12</c:v>
                </c:pt>
                <c:pt idx="23">
                  <c:v>-0.2</c:v>
                </c:pt>
                <c:pt idx="24">
                  <c:v>-0.3</c:v>
                </c:pt>
                <c:pt idx="25">
                  <c:v>-0.39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82-4067-96B6-48C199AE1C57}"/>
            </c:ext>
          </c:extLst>
        </c:ser>
        <c:ser>
          <c:idx val="2"/>
          <c:order val="2"/>
          <c:tx>
            <c:v>磁束密度増加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Sheet1!$K$50:$K$75</c:f>
              <c:numCache>
                <c:formatCode>General</c:formatCode>
                <c:ptCount val="26"/>
                <c:pt idx="0">
                  <c:v>-55164</c:v>
                </c:pt>
                <c:pt idx="1">
                  <c:v>-50567</c:v>
                </c:pt>
                <c:pt idx="2">
                  <c:v>-45970</c:v>
                </c:pt>
                <c:pt idx="3">
                  <c:v>-41373</c:v>
                </c:pt>
                <c:pt idx="4">
                  <c:v>-36776</c:v>
                </c:pt>
                <c:pt idx="5">
                  <c:v>-32179</c:v>
                </c:pt>
                <c:pt idx="6">
                  <c:v>-27582</c:v>
                </c:pt>
                <c:pt idx="7">
                  <c:v>-22985</c:v>
                </c:pt>
                <c:pt idx="8">
                  <c:v>-18388</c:v>
                </c:pt>
                <c:pt idx="9">
                  <c:v>-13791</c:v>
                </c:pt>
                <c:pt idx="10">
                  <c:v>-9194</c:v>
                </c:pt>
                <c:pt idx="11">
                  <c:v>-4597</c:v>
                </c:pt>
                <c:pt idx="12">
                  <c:v>0</c:v>
                </c:pt>
                <c:pt idx="13">
                  <c:v>4597</c:v>
                </c:pt>
                <c:pt idx="14">
                  <c:v>9194</c:v>
                </c:pt>
                <c:pt idx="15">
                  <c:v>13791</c:v>
                </c:pt>
                <c:pt idx="16">
                  <c:v>18388</c:v>
                </c:pt>
                <c:pt idx="17">
                  <c:v>22985</c:v>
                </c:pt>
                <c:pt idx="18">
                  <c:v>27582</c:v>
                </c:pt>
                <c:pt idx="19">
                  <c:v>32179</c:v>
                </c:pt>
                <c:pt idx="20">
                  <c:v>36776</c:v>
                </c:pt>
                <c:pt idx="21">
                  <c:v>41373</c:v>
                </c:pt>
                <c:pt idx="22">
                  <c:v>45970</c:v>
                </c:pt>
                <c:pt idx="23">
                  <c:v>50567</c:v>
                </c:pt>
                <c:pt idx="24">
                  <c:v>55164</c:v>
                </c:pt>
                <c:pt idx="25">
                  <c:v>59761</c:v>
                </c:pt>
              </c:numCache>
            </c:numRef>
          </c:xVal>
          <c:yVal>
            <c:numRef>
              <c:f>Sheet1!$J$50:$J$75</c:f>
              <c:numCache>
                <c:formatCode>0.000</c:formatCode>
                <c:ptCount val="26"/>
                <c:pt idx="0">
                  <c:v>-0.37</c:v>
                </c:pt>
                <c:pt idx="1">
                  <c:v>-0.35</c:v>
                </c:pt>
                <c:pt idx="2">
                  <c:v>-0.33</c:v>
                </c:pt>
                <c:pt idx="3">
                  <c:v>-0.315</c:v>
                </c:pt>
                <c:pt idx="4">
                  <c:v>-0.30199999999999999</c:v>
                </c:pt>
                <c:pt idx="5">
                  <c:v>-0.3</c:v>
                </c:pt>
                <c:pt idx="6">
                  <c:v>-0.28999999999999998</c:v>
                </c:pt>
                <c:pt idx="7">
                  <c:v>-0.28000000000000003</c:v>
                </c:pt>
                <c:pt idx="8">
                  <c:v>-0.255</c:v>
                </c:pt>
                <c:pt idx="9">
                  <c:v>-0.22500000000000001</c:v>
                </c:pt>
                <c:pt idx="10">
                  <c:v>-0.217</c:v>
                </c:pt>
                <c:pt idx="11">
                  <c:v>-0.20300000000000001</c:v>
                </c:pt>
                <c:pt idx="12">
                  <c:v>-0.19</c:v>
                </c:pt>
                <c:pt idx="13">
                  <c:v>-0.17</c:v>
                </c:pt>
                <c:pt idx="14">
                  <c:v>-0.16</c:v>
                </c:pt>
                <c:pt idx="15">
                  <c:v>-0.13</c:v>
                </c:pt>
                <c:pt idx="16">
                  <c:v>-0.12</c:v>
                </c:pt>
                <c:pt idx="17">
                  <c:v>-0.1</c:v>
                </c:pt>
                <c:pt idx="18">
                  <c:v>-0.03</c:v>
                </c:pt>
                <c:pt idx="19">
                  <c:v>0.01</c:v>
                </c:pt>
                <c:pt idx="20">
                  <c:v>0.09</c:v>
                </c:pt>
                <c:pt idx="21">
                  <c:v>0.18</c:v>
                </c:pt>
                <c:pt idx="22">
                  <c:v>0.24</c:v>
                </c:pt>
                <c:pt idx="23">
                  <c:v>0.32500000000000001</c:v>
                </c:pt>
                <c:pt idx="24">
                  <c:v>0.41</c:v>
                </c:pt>
                <c:pt idx="25">
                  <c:v>0.505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82-4067-96B6-48C199AE1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4687"/>
        <c:axId val="1727912687"/>
      </c:scatterChart>
      <c:valAx>
        <c:axId val="19834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磁束</a:t>
                </a:r>
                <a:r>
                  <a:rPr lang="en-US" altLang="ja-JP">
                    <a:solidFill>
                      <a:schemeClr val="tx1"/>
                    </a:solidFill>
                  </a:rPr>
                  <a:t>[A/m]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27912687"/>
        <c:crossesAt val="-80000"/>
        <c:crossBetween val="midCat"/>
      </c:valAx>
      <c:valAx>
        <c:axId val="17279126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磁束密度</a:t>
                </a:r>
                <a:r>
                  <a:rPr lang="en-US" altLang="ja-JP">
                    <a:solidFill>
                      <a:schemeClr val="tx1"/>
                    </a:solidFill>
                  </a:rPr>
                  <a:t>[T]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834687"/>
        <c:crossesAt val="-80000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Sheet1!$P$69:$P$84</c:f>
              <c:numCache>
                <c:formatCode>General</c:formatCode>
                <c:ptCount val="16"/>
                <c:pt idx="0">
                  <c:v>1838.8000000000002</c:v>
                </c:pt>
                <c:pt idx="1">
                  <c:v>3677.6000000000004</c:v>
                </c:pt>
                <c:pt idx="2">
                  <c:v>5516.4</c:v>
                </c:pt>
                <c:pt idx="3">
                  <c:v>7355.2000000000007</c:v>
                </c:pt>
                <c:pt idx="4">
                  <c:v>9194</c:v>
                </c:pt>
                <c:pt idx="5">
                  <c:v>13791</c:v>
                </c:pt>
                <c:pt idx="6">
                  <c:v>18388</c:v>
                </c:pt>
                <c:pt idx="7">
                  <c:v>22985</c:v>
                </c:pt>
                <c:pt idx="8">
                  <c:v>27582</c:v>
                </c:pt>
                <c:pt idx="9">
                  <c:v>32179</c:v>
                </c:pt>
                <c:pt idx="10">
                  <c:v>36776</c:v>
                </c:pt>
                <c:pt idx="11">
                  <c:v>41373</c:v>
                </c:pt>
                <c:pt idx="12">
                  <c:v>45970</c:v>
                </c:pt>
                <c:pt idx="13">
                  <c:v>50567</c:v>
                </c:pt>
                <c:pt idx="14">
                  <c:v>55164</c:v>
                </c:pt>
                <c:pt idx="15">
                  <c:v>59761</c:v>
                </c:pt>
              </c:numCache>
            </c:numRef>
          </c:xVal>
          <c:yVal>
            <c:numRef>
              <c:f>Sheet1!$Q$69:$Q$84</c:f>
              <c:numCache>
                <c:formatCode>General</c:formatCode>
                <c:ptCount val="16"/>
                <c:pt idx="0">
                  <c:v>2.7191646726125733</c:v>
                </c:pt>
                <c:pt idx="1">
                  <c:v>2.7191646726125733</c:v>
                </c:pt>
                <c:pt idx="2">
                  <c:v>3.2629976071350884</c:v>
                </c:pt>
                <c:pt idx="3">
                  <c:v>3.2629976071350879</c:v>
                </c:pt>
                <c:pt idx="4">
                  <c:v>3.2629976071350879</c:v>
                </c:pt>
                <c:pt idx="5">
                  <c:v>3.3355086650714232</c:v>
                </c:pt>
                <c:pt idx="6">
                  <c:v>3.4805307809440942</c:v>
                </c:pt>
                <c:pt idx="7">
                  <c:v>3.5240374157058953</c:v>
                </c:pt>
                <c:pt idx="8">
                  <c:v>3.6618084257849324</c:v>
                </c:pt>
                <c:pt idx="9">
                  <c:v>3.7912924578141025</c:v>
                </c:pt>
                <c:pt idx="10">
                  <c:v>4.0243637154666088</c:v>
                </c:pt>
                <c:pt idx="11">
                  <c:v>3.6255528968167647</c:v>
                </c:pt>
                <c:pt idx="12">
                  <c:v>4.1331303023711117</c:v>
                </c:pt>
                <c:pt idx="13">
                  <c:v>4.9439357683864973</c:v>
                </c:pt>
                <c:pt idx="14">
                  <c:v>5.4383293452251467</c:v>
                </c:pt>
                <c:pt idx="15">
                  <c:v>6.0239955824032396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70-44F1-BFE8-9C22FF430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2114399"/>
        <c:axId val="1320638639"/>
      </c:scatterChart>
      <c:valAx>
        <c:axId val="1862114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磁界</a:t>
                </a:r>
                <a:r>
                  <a:rPr lang="en-US" altLang="ja-JP">
                    <a:solidFill>
                      <a:schemeClr val="tx1"/>
                    </a:solidFill>
                  </a:rPr>
                  <a:t>[A/m]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0638639"/>
        <c:crosses val="autoZero"/>
        <c:crossBetween val="midCat"/>
      </c:valAx>
      <c:valAx>
        <c:axId val="13206386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透磁率</a:t>
                </a:r>
                <a:r>
                  <a:rPr lang="en-US" altLang="ja-JP">
                    <a:solidFill>
                      <a:schemeClr val="tx1"/>
                    </a:solidFill>
                  </a:rPr>
                  <a:t>[10</a:t>
                </a:r>
                <a:r>
                  <a:rPr lang="en-US" altLang="ja-JP" baseline="30000">
                    <a:solidFill>
                      <a:schemeClr val="tx1"/>
                    </a:solidFill>
                  </a:rPr>
                  <a:t>-6</a:t>
                </a:r>
                <a:r>
                  <a:rPr lang="en-US" altLang="ja-JP">
                    <a:solidFill>
                      <a:schemeClr val="tx1"/>
                    </a:solidFill>
                  </a:rPr>
                  <a:t>H/m]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6211439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4.0812353284358512E-2"/>
          <c:y val="0.19674789326868308"/>
          <c:w val="0.92221075573779154"/>
          <c:h val="0.74760811146324724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Sheet1!$F$7:$F$60</c:f>
              <c:numCache>
                <c:formatCode>General</c:formatCode>
                <c:ptCount val="54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1.5</c:v>
                </c:pt>
                <c:pt idx="7">
                  <c:v>2</c:v>
                </c:pt>
                <c:pt idx="8">
                  <c:v>2.5</c:v>
                </c:pt>
                <c:pt idx="9">
                  <c:v>3</c:v>
                </c:pt>
                <c:pt idx="10">
                  <c:v>3.5</c:v>
                </c:pt>
                <c:pt idx="11">
                  <c:v>4</c:v>
                </c:pt>
                <c:pt idx="12">
                  <c:v>4.5</c:v>
                </c:pt>
                <c:pt idx="13">
                  <c:v>5</c:v>
                </c:pt>
                <c:pt idx="14">
                  <c:v>4.5</c:v>
                </c:pt>
                <c:pt idx="15">
                  <c:v>4</c:v>
                </c:pt>
                <c:pt idx="16">
                  <c:v>3.5</c:v>
                </c:pt>
                <c:pt idx="17">
                  <c:v>3</c:v>
                </c:pt>
                <c:pt idx="18">
                  <c:v>2.5</c:v>
                </c:pt>
                <c:pt idx="19">
                  <c:v>2</c:v>
                </c:pt>
                <c:pt idx="20">
                  <c:v>1.5</c:v>
                </c:pt>
                <c:pt idx="21">
                  <c:v>1</c:v>
                </c:pt>
                <c:pt idx="22">
                  <c:v>0.5</c:v>
                </c:pt>
                <c:pt idx="23">
                  <c:v>0</c:v>
                </c:pt>
                <c:pt idx="24">
                  <c:v>-0.5</c:v>
                </c:pt>
                <c:pt idx="25">
                  <c:v>-1</c:v>
                </c:pt>
                <c:pt idx="26">
                  <c:v>-1.5</c:v>
                </c:pt>
                <c:pt idx="27">
                  <c:v>-2</c:v>
                </c:pt>
                <c:pt idx="28">
                  <c:v>-2.5</c:v>
                </c:pt>
                <c:pt idx="29">
                  <c:v>-3</c:v>
                </c:pt>
                <c:pt idx="30">
                  <c:v>-3.5</c:v>
                </c:pt>
                <c:pt idx="31">
                  <c:v>-4</c:v>
                </c:pt>
                <c:pt idx="32">
                  <c:v>-4.5</c:v>
                </c:pt>
                <c:pt idx="33">
                  <c:v>-5</c:v>
                </c:pt>
                <c:pt idx="34">
                  <c:v>-4.5</c:v>
                </c:pt>
                <c:pt idx="35">
                  <c:v>-4</c:v>
                </c:pt>
                <c:pt idx="36">
                  <c:v>-3.5</c:v>
                </c:pt>
                <c:pt idx="37">
                  <c:v>-3</c:v>
                </c:pt>
                <c:pt idx="38">
                  <c:v>-2.5</c:v>
                </c:pt>
                <c:pt idx="39">
                  <c:v>-2</c:v>
                </c:pt>
                <c:pt idx="40">
                  <c:v>-1.5</c:v>
                </c:pt>
                <c:pt idx="41">
                  <c:v>-1</c:v>
                </c:pt>
                <c:pt idx="42">
                  <c:v>-0.5</c:v>
                </c:pt>
                <c:pt idx="43">
                  <c:v>0</c:v>
                </c:pt>
                <c:pt idx="44">
                  <c:v>0.5</c:v>
                </c:pt>
                <c:pt idx="45">
                  <c:v>1</c:v>
                </c:pt>
                <c:pt idx="46">
                  <c:v>1.5</c:v>
                </c:pt>
                <c:pt idx="47">
                  <c:v>2</c:v>
                </c:pt>
                <c:pt idx="48">
                  <c:v>2.5</c:v>
                </c:pt>
                <c:pt idx="49">
                  <c:v>3</c:v>
                </c:pt>
                <c:pt idx="50">
                  <c:v>3.5</c:v>
                </c:pt>
                <c:pt idx="51">
                  <c:v>4</c:v>
                </c:pt>
                <c:pt idx="52">
                  <c:v>4.5</c:v>
                </c:pt>
                <c:pt idx="53">
                  <c:v>5</c:v>
                </c:pt>
              </c:numCache>
            </c:numRef>
          </c:xVal>
          <c:yVal>
            <c:numRef>
              <c:f>Sheet1!$G$7:$G$60</c:f>
              <c:numCache>
                <c:formatCode>General</c:formatCode>
                <c:ptCount val="54"/>
                <c:pt idx="0">
                  <c:v>0</c:v>
                </c:pt>
                <c:pt idx="1">
                  <c:v>0.13</c:v>
                </c:pt>
                <c:pt idx="2">
                  <c:v>0.3</c:v>
                </c:pt>
                <c:pt idx="3">
                  <c:v>0.33</c:v>
                </c:pt>
                <c:pt idx="4">
                  <c:v>0.48</c:v>
                </c:pt>
                <c:pt idx="5">
                  <c:v>0.51</c:v>
                </c:pt>
                <c:pt idx="6">
                  <c:v>0.62</c:v>
                </c:pt>
                <c:pt idx="7">
                  <c:v>0.73</c:v>
                </c:pt>
                <c:pt idx="8">
                  <c:v>0.82</c:v>
                </c:pt>
                <c:pt idx="9">
                  <c:v>0.9</c:v>
                </c:pt>
                <c:pt idx="10">
                  <c:v>0.98</c:v>
                </c:pt>
                <c:pt idx="11">
                  <c:v>1.02</c:v>
                </c:pt>
                <c:pt idx="12">
                  <c:v>1.0900000000000001</c:v>
                </c:pt>
                <c:pt idx="13">
                  <c:v>1.1299999999999999</c:v>
                </c:pt>
                <c:pt idx="14">
                  <c:v>1.1000000000000001</c:v>
                </c:pt>
                <c:pt idx="15">
                  <c:v>1.08</c:v>
                </c:pt>
                <c:pt idx="16">
                  <c:v>1</c:v>
                </c:pt>
                <c:pt idx="17">
                  <c:v>0.92</c:v>
                </c:pt>
                <c:pt idx="18">
                  <c:v>0.88</c:v>
                </c:pt>
                <c:pt idx="19">
                  <c:v>0.8</c:v>
                </c:pt>
                <c:pt idx="20">
                  <c:v>0.7</c:v>
                </c:pt>
                <c:pt idx="21">
                  <c:v>0.59</c:v>
                </c:pt>
                <c:pt idx="22">
                  <c:v>0.42</c:v>
                </c:pt>
                <c:pt idx="23">
                  <c:v>0.01</c:v>
                </c:pt>
                <c:pt idx="24">
                  <c:v>-0.33</c:v>
                </c:pt>
                <c:pt idx="25">
                  <c:v>-0.56999999999999995</c:v>
                </c:pt>
                <c:pt idx="26">
                  <c:v>-0.69</c:v>
                </c:pt>
                <c:pt idx="27">
                  <c:v>-0.8</c:v>
                </c:pt>
                <c:pt idx="28">
                  <c:v>-0.87</c:v>
                </c:pt>
                <c:pt idx="29">
                  <c:v>-0.95</c:v>
                </c:pt>
                <c:pt idx="30">
                  <c:v>-1.02</c:v>
                </c:pt>
                <c:pt idx="31">
                  <c:v>-1.1000000000000001</c:v>
                </c:pt>
                <c:pt idx="32">
                  <c:v>-1.1299999999999999</c:v>
                </c:pt>
                <c:pt idx="33">
                  <c:v>-1.23</c:v>
                </c:pt>
                <c:pt idx="34">
                  <c:v>-1.19</c:v>
                </c:pt>
                <c:pt idx="35">
                  <c:v>-1.1100000000000001</c:v>
                </c:pt>
                <c:pt idx="36">
                  <c:v>-1.05</c:v>
                </c:pt>
                <c:pt idx="37">
                  <c:v>-1</c:v>
                </c:pt>
                <c:pt idx="38">
                  <c:v>-0.92</c:v>
                </c:pt>
                <c:pt idx="39">
                  <c:v>-0.83</c:v>
                </c:pt>
                <c:pt idx="40">
                  <c:v>-0.72</c:v>
                </c:pt>
                <c:pt idx="41">
                  <c:v>-0.62</c:v>
                </c:pt>
                <c:pt idx="42">
                  <c:v>-0.43</c:v>
                </c:pt>
                <c:pt idx="43">
                  <c:v>-0.05</c:v>
                </c:pt>
                <c:pt idx="44">
                  <c:v>0.23</c:v>
                </c:pt>
                <c:pt idx="45">
                  <c:v>0.52</c:v>
                </c:pt>
                <c:pt idx="46">
                  <c:v>0.67</c:v>
                </c:pt>
                <c:pt idx="47">
                  <c:v>0.75</c:v>
                </c:pt>
                <c:pt idx="48">
                  <c:v>0.83</c:v>
                </c:pt>
                <c:pt idx="49">
                  <c:v>0.91</c:v>
                </c:pt>
                <c:pt idx="50">
                  <c:v>0.99</c:v>
                </c:pt>
                <c:pt idx="51">
                  <c:v>1.07</c:v>
                </c:pt>
                <c:pt idx="52">
                  <c:v>1.1200000000000001</c:v>
                </c:pt>
                <c:pt idx="53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0E-417F-ABCB-C22B10332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649520"/>
        <c:axId val="1146647600"/>
      </c:scatterChart>
      <c:valAx>
        <c:axId val="114664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6647600"/>
        <c:crosses val="autoZero"/>
        <c:crossBetween val="midCat"/>
      </c:valAx>
      <c:valAx>
        <c:axId val="114664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6649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Sheet1!$I$7:$I$75</c:f>
              <c:numCache>
                <c:formatCode>0.0</c:formatCode>
                <c:ptCount val="6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1.5</c:v>
                </c:pt>
                <c:pt idx="7">
                  <c:v>2</c:v>
                </c:pt>
                <c:pt idx="8">
                  <c:v>2.5</c:v>
                </c:pt>
                <c:pt idx="9">
                  <c:v>3</c:v>
                </c:pt>
                <c:pt idx="10">
                  <c:v>3.5</c:v>
                </c:pt>
                <c:pt idx="11">
                  <c:v>4</c:v>
                </c:pt>
                <c:pt idx="12">
                  <c:v>4.5</c:v>
                </c:pt>
                <c:pt idx="13">
                  <c:v>5</c:v>
                </c:pt>
                <c:pt idx="14">
                  <c:v>5.5</c:v>
                </c:pt>
                <c:pt idx="15">
                  <c:v>6</c:v>
                </c:pt>
                <c:pt idx="16">
                  <c:v>6.5</c:v>
                </c:pt>
                <c:pt idx="17">
                  <c:v>6</c:v>
                </c:pt>
                <c:pt idx="18">
                  <c:v>5.5</c:v>
                </c:pt>
                <c:pt idx="19">
                  <c:v>5</c:v>
                </c:pt>
                <c:pt idx="20">
                  <c:v>4.5</c:v>
                </c:pt>
                <c:pt idx="21">
                  <c:v>4</c:v>
                </c:pt>
                <c:pt idx="22">
                  <c:v>3.5</c:v>
                </c:pt>
                <c:pt idx="23">
                  <c:v>3</c:v>
                </c:pt>
                <c:pt idx="24">
                  <c:v>2.5</c:v>
                </c:pt>
                <c:pt idx="25">
                  <c:v>2</c:v>
                </c:pt>
                <c:pt idx="26">
                  <c:v>1.5</c:v>
                </c:pt>
                <c:pt idx="27">
                  <c:v>1</c:v>
                </c:pt>
                <c:pt idx="28">
                  <c:v>0.5</c:v>
                </c:pt>
                <c:pt idx="29">
                  <c:v>0</c:v>
                </c:pt>
                <c:pt idx="30">
                  <c:v>-0.5</c:v>
                </c:pt>
                <c:pt idx="31">
                  <c:v>-1</c:v>
                </c:pt>
                <c:pt idx="32">
                  <c:v>-1.5</c:v>
                </c:pt>
                <c:pt idx="33">
                  <c:v>-2</c:v>
                </c:pt>
                <c:pt idx="34">
                  <c:v>-2.5</c:v>
                </c:pt>
                <c:pt idx="35">
                  <c:v>-3</c:v>
                </c:pt>
                <c:pt idx="36">
                  <c:v>-3.5</c:v>
                </c:pt>
                <c:pt idx="37">
                  <c:v>-4</c:v>
                </c:pt>
                <c:pt idx="38">
                  <c:v>-4.5</c:v>
                </c:pt>
                <c:pt idx="39">
                  <c:v>-5</c:v>
                </c:pt>
                <c:pt idx="40">
                  <c:v>-5.5</c:v>
                </c:pt>
                <c:pt idx="41">
                  <c:v>-6</c:v>
                </c:pt>
                <c:pt idx="42">
                  <c:v>-6.5</c:v>
                </c:pt>
                <c:pt idx="43">
                  <c:v>-6</c:v>
                </c:pt>
                <c:pt idx="44">
                  <c:v>-5.5</c:v>
                </c:pt>
                <c:pt idx="45">
                  <c:v>-5</c:v>
                </c:pt>
                <c:pt idx="46">
                  <c:v>-4.5</c:v>
                </c:pt>
                <c:pt idx="47">
                  <c:v>-4</c:v>
                </c:pt>
                <c:pt idx="48">
                  <c:v>-3.5</c:v>
                </c:pt>
                <c:pt idx="49">
                  <c:v>-3</c:v>
                </c:pt>
                <c:pt idx="50">
                  <c:v>-2.5</c:v>
                </c:pt>
                <c:pt idx="51">
                  <c:v>-2</c:v>
                </c:pt>
                <c:pt idx="52">
                  <c:v>-1.5</c:v>
                </c:pt>
                <c:pt idx="53">
                  <c:v>-1</c:v>
                </c:pt>
                <c:pt idx="54">
                  <c:v>-0.5</c:v>
                </c:pt>
                <c:pt idx="55">
                  <c:v>0</c:v>
                </c:pt>
                <c:pt idx="56">
                  <c:v>0.5</c:v>
                </c:pt>
                <c:pt idx="57">
                  <c:v>1</c:v>
                </c:pt>
                <c:pt idx="58">
                  <c:v>1.5</c:v>
                </c:pt>
                <c:pt idx="59">
                  <c:v>2</c:v>
                </c:pt>
                <c:pt idx="60">
                  <c:v>2.5</c:v>
                </c:pt>
                <c:pt idx="61">
                  <c:v>3</c:v>
                </c:pt>
                <c:pt idx="62">
                  <c:v>3.5</c:v>
                </c:pt>
                <c:pt idx="63">
                  <c:v>4</c:v>
                </c:pt>
                <c:pt idx="64">
                  <c:v>4.5</c:v>
                </c:pt>
                <c:pt idx="65">
                  <c:v>5</c:v>
                </c:pt>
                <c:pt idx="66">
                  <c:v>5.5</c:v>
                </c:pt>
                <c:pt idx="67">
                  <c:v>6</c:v>
                </c:pt>
                <c:pt idx="68">
                  <c:v>6.5</c:v>
                </c:pt>
              </c:numCache>
            </c:numRef>
          </c:xVal>
          <c:yVal>
            <c:numRef>
              <c:f>Sheet1!$J$7:$J$75</c:f>
              <c:numCache>
                <c:formatCode>0.000</c:formatCode>
                <c:ptCount val="69"/>
                <c:pt idx="0">
                  <c:v>0</c:v>
                </c:pt>
                <c:pt idx="1">
                  <c:v>7.0000000000000001E-3</c:v>
                </c:pt>
                <c:pt idx="2">
                  <c:v>1.2E-2</c:v>
                </c:pt>
                <c:pt idx="3">
                  <c:v>1.9E-2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4.9000000000000002E-2</c:v>
                </c:pt>
                <c:pt idx="7">
                  <c:v>6.2E-2</c:v>
                </c:pt>
                <c:pt idx="8">
                  <c:v>7.1999999999999995E-2</c:v>
                </c:pt>
                <c:pt idx="9">
                  <c:v>9.2999999999999999E-2</c:v>
                </c:pt>
                <c:pt idx="10">
                  <c:v>0.12</c:v>
                </c:pt>
                <c:pt idx="11">
                  <c:v>0.14000000000000001</c:v>
                </c:pt>
                <c:pt idx="12">
                  <c:v>0.21</c:v>
                </c:pt>
                <c:pt idx="13">
                  <c:v>0.28999999999999998</c:v>
                </c:pt>
                <c:pt idx="14">
                  <c:v>0.32</c:v>
                </c:pt>
                <c:pt idx="15">
                  <c:v>0.4</c:v>
                </c:pt>
                <c:pt idx="16">
                  <c:v>0.499</c:v>
                </c:pt>
                <c:pt idx="17">
                  <c:v>0.49</c:v>
                </c:pt>
                <c:pt idx="18">
                  <c:v>0.48</c:v>
                </c:pt>
                <c:pt idx="19">
                  <c:v>0.46500000000000002</c:v>
                </c:pt>
                <c:pt idx="20">
                  <c:v>0.42</c:v>
                </c:pt>
                <c:pt idx="21">
                  <c:v>0.40200000000000002</c:v>
                </c:pt>
                <c:pt idx="22">
                  <c:v>0.40500000000000003</c:v>
                </c:pt>
                <c:pt idx="23">
                  <c:v>0.4</c:v>
                </c:pt>
                <c:pt idx="24">
                  <c:v>0.39</c:v>
                </c:pt>
                <c:pt idx="25">
                  <c:v>0.38</c:v>
                </c:pt>
                <c:pt idx="26">
                  <c:v>0.36</c:v>
                </c:pt>
                <c:pt idx="27">
                  <c:v>0.33</c:v>
                </c:pt>
                <c:pt idx="28">
                  <c:v>0.32</c:v>
                </c:pt>
                <c:pt idx="29">
                  <c:v>0.3</c:v>
                </c:pt>
                <c:pt idx="30">
                  <c:v>0.28999999999999998</c:v>
                </c:pt>
                <c:pt idx="31">
                  <c:v>0.28000000000000003</c:v>
                </c:pt>
                <c:pt idx="32">
                  <c:v>0.26</c:v>
                </c:pt>
                <c:pt idx="33">
                  <c:v>0.23</c:v>
                </c:pt>
                <c:pt idx="34">
                  <c:v>0.20499999999999999</c:v>
                </c:pt>
                <c:pt idx="35">
                  <c:v>0.14000000000000001</c:v>
                </c:pt>
                <c:pt idx="36">
                  <c:v>0.1</c:v>
                </c:pt>
                <c:pt idx="37">
                  <c:v>0.03</c:v>
                </c:pt>
                <c:pt idx="38">
                  <c:v>-0.02</c:v>
                </c:pt>
                <c:pt idx="39">
                  <c:v>-0.12</c:v>
                </c:pt>
                <c:pt idx="40">
                  <c:v>-0.2</c:v>
                </c:pt>
                <c:pt idx="41">
                  <c:v>-0.3</c:v>
                </c:pt>
                <c:pt idx="42">
                  <c:v>-0.39</c:v>
                </c:pt>
                <c:pt idx="43">
                  <c:v>-0.37</c:v>
                </c:pt>
                <c:pt idx="44">
                  <c:v>-0.35</c:v>
                </c:pt>
                <c:pt idx="45">
                  <c:v>-0.33</c:v>
                </c:pt>
                <c:pt idx="46">
                  <c:v>-0.315</c:v>
                </c:pt>
                <c:pt idx="47">
                  <c:v>-0.30199999999999999</c:v>
                </c:pt>
                <c:pt idx="48">
                  <c:v>-0.3</c:v>
                </c:pt>
                <c:pt idx="49">
                  <c:v>-0.28999999999999998</c:v>
                </c:pt>
                <c:pt idx="50">
                  <c:v>-0.28000000000000003</c:v>
                </c:pt>
                <c:pt idx="51">
                  <c:v>-0.255</c:v>
                </c:pt>
                <c:pt idx="52">
                  <c:v>-0.22500000000000001</c:v>
                </c:pt>
                <c:pt idx="53">
                  <c:v>-0.217</c:v>
                </c:pt>
                <c:pt idx="54">
                  <c:v>-0.20300000000000001</c:v>
                </c:pt>
                <c:pt idx="55">
                  <c:v>-0.19</c:v>
                </c:pt>
                <c:pt idx="56">
                  <c:v>-0.17</c:v>
                </c:pt>
                <c:pt idx="57">
                  <c:v>-0.16</c:v>
                </c:pt>
                <c:pt idx="58">
                  <c:v>-0.13</c:v>
                </c:pt>
                <c:pt idx="59">
                  <c:v>-0.12</c:v>
                </c:pt>
                <c:pt idx="60">
                  <c:v>-0.1</c:v>
                </c:pt>
                <c:pt idx="61">
                  <c:v>-0.03</c:v>
                </c:pt>
                <c:pt idx="62">
                  <c:v>0.01</c:v>
                </c:pt>
                <c:pt idx="63">
                  <c:v>0.09</c:v>
                </c:pt>
                <c:pt idx="64">
                  <c:v>0.18</c:v>
                </c:pt>
                <c:pt idx="65">
                  <c:v>0.24</c:v>
                </c:pt>
                <c:pt idx="66">
                  <c:v>0.32500000000000001</c:v>
                </c:pt>
                <c:pt idx="67">
                  <c:v>0.41</c:v>
                </c:pt>
                <c:pt idx="68">
                  <c:v>0.505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8E-4C10-8A8F-361C4AE94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679968"/>
        <c:axId val="1154676608"/>
      </c:scatterChart>
      <c:valAx>
        <c:axId val="115467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54676608"/>
        <c:crosses val="autoZero"/>
        <c:crossBetween val="midCat"/>
      </c:valAx>
      <c:valAx>
        <c:axId val="115467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54679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472835</xdr:colOff>
      <xdr:row>8</xdr:row>
      <xdr:rowOff>197123</xdr:rowOff>
    </xdr:from>
    <xdr:to>
      <xdr:col>19</xdr:col>
      <xdr:colOff>226090</xdr:colOff>
      <xdr:row>21</xdr:row>
      <xdr:rowOff>50561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EB91413-6D49-4C78-FC95-CD4450638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489025</xdr:colOff>
      <xdr:row>25</xdr:row>
      <xdr:rowOff>111711</xdr:rowOff>
    </xdr:from>
    <xdr:to>
      <xdr:col>19</xdr:col>
      <xdr:colOff>257112</xdr:colOff>
      <xdr:row>37</xdr:row>
      <xdr:rowOff>174451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EF64FB2-E5CC-DC73-566C-897EBEA865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251428</xdr:colOff>
      <xdr:row>40</xdr:row>
      <xdr:rowOff>83823</xdr:rowOff>
    </xdr:from>
    <xdr:to>
      <xdr:col>19</xdr:col>
      <xdr:colOff>15810</xdr:colOff>
      <xdr:row>52</xdr:row>
      <xdr:rowOff>104877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7CE37F8-03B4-3B32-16D7-3A1041826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104968</xdr:colOff>
      <xdr:row>54</xdr:row>
      <xdr:rowOff>129111</xdr:rowOff>
    </xdr:from>
    <xdr:to>
      <xdr:col>18</xdr:col>
      <xdr:colOff>219178</xdr:colOff>
      <xdr:row>66</xdr:row>
      <xdr:rowOff>186415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3D517E8-95AA-82F5-7D20-9BFD9B6DF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387397</xdr:colOff>
      <xdr:row>62</xdr:row>
      <xdr:rowOff>198733</xdr:rowOff>
    </xdr:from>
    <xdr:to>
      <xdr:col>6</xdr:col>
      <xdr:colOff>236821</xdr:colOff>
      <xdr:row>74</xdr:row>
      <xdr:rowOff>154987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197AB2E9-26A9-5BBC-8DAE-C5C063187A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581708</xdr:colOff>
      <xdr:row>76</xdr:row>
      <xdr:rowOff>92270</xdr:rowOff>
    </xdr:from>
    <xdr:to>
      <xdr:col>12</xdr:col>
      <xdr:colOff>444719</xdr:colOff>
      <xdr:row>88</xdr:row>
      <xdr:rowOff>44153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DA9BF501-80C6-C6B2-6B06-C51B50B73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6DA8-6791-43B8-AE17-1ECE391AFF21}">
  <dimension ref="C4:AF108"/>
  <sheetViews>
    <sheetView tabSelected="1" topLeftCell="A60" zoomScale="58" zoomScaleNormal="67" workbookViewId="0">
      <selection activeCell="M62" sqref="M62"/>
    </sheetView>
  </sheetViews>
  <sheetFormatPr defaultColWidth="9" defaultRowHeight="18" x14ac:dyDescent="0.55000000000000004"/>
  <cols>
    <col min="1" max="2" width="9" style="1"/>
    <col min="3" max="4" width="11.58203125" style="1" customWidth="1"/>
    <col min="5" max="5" width="9" style="1"/>
    <col min="6" max="7" width="11.58203125" style="1" customWidth="1"/>
    <col min="8" max="8" width="9" style="1"/>
    <col min="9" max="10" width="11.58203125" style="1" customWidth="1"/>
    <col min="11" max="13" width="9" style="1"/>
    <col min="14" max="17" width="16.58203125" style="1" customWidth="1"/>
    <col min="18" max="20" width="9" style="1"/>
    <col min="21" max="26" width="11.58203125" style="1" customWidth="1"/>
    <col min="27" max="28" width="9" style="1"/>
    <col min="29" max="29" width="2.83203125" style="1" bestFit="1" customWidth="1"/>
    <col min="30" max="30" width="11.58203125" style="1" bestFit="1" customWidth="1"/>
    <col min="31" max="32" width="14.6640625" style="1" bestFit="1" customWidth="1"/>
    <col min="33" max="16384" width="9" style="1"/>
  </cols>
  <sheetData>
    <row r="4" spans="3:26" x14ac:dyDescent="0.55000000000000004">
      <c r="C4" s="1" t="s">
        <v>2</v>
      </c>
      <c r="F4" s="1" t="s">
        <v>3</v>
      </c>
      <c r="I4" s="1" t="s">
        <v>4</v>
      </c>
    </row>
    <row r="5" spans="3:26" x14ac:dyDescent="0.55000000000000004">
      <c r="W5" s="1" t="s">
        <v>5</v>
      </c>
    </row>
    <row r="6" spans="3:26" ht="18.5" thickBot="1" x14ac:dyDescent="0.6">
      <c r="C6" s="1" t="s">
        <v>0</v>
      </c>
      <c r="D6" s="1" t="s">
        <v>1</v>
      </c>
      <c r="F6" s="1" t="s">
        <v>0</v>
      </c>
      <c r="G6" s="1" t="s">
        <v>1</v>
      </c>
      <c r="I6" s="1" t="s">
        <v>0</v>
      </c>
      <c r="J6" s="1" t="s">
        <v>1</v>
      </c>
      <c r="K6" s="1" t="s">
        <v>8</v>
      </c>
      <c r="L6" s="1" t="s">
        <v>14</v>
      </c>
    </row>
    <row r="7" spans="3:26" ht="18.5" thickBot="1" x14ac:dyDescent="0.6">
      <c r="C7" s="2">
        <v>0</v>
      </c>
      <c r="D7" s="3"/>
      <c r="F7" s="1">
        <v>0</v>
      </c>
      <c r="G7" s="1">
        <v>0</v>
      </c>
      <c r="I7" s="2">
        <v>0</v>
      </c>
      <c r="J7" s="3">
        <v>0</v>
      </c>
      <c r="K7" s="1">
        <f>(9194*I7)</f>
        <v>0</v>
      </c>
      <c r="L7" s="1" t="e">
        <f>(J7/K7)</f>
        <v>#DIV/0!</v>
      </c>
      <c r="U7" s="7" t="s">
        <v>0</v>
      </c>
      <c r="V7" s="4" t="s">
        <v>1</v>
      </c>
      <c r="W7" s="7" t="s">
        <v>0</v>
      </c>
      <c r="X7" s="4" t="s">
        <v>1</v>
      </c>
      <c r="Y7" s="7" t="s">
        <v>0</v>
      </c>
      <c r="Z7" s="4" t="s">
        <v>1</v>
      </c>
    </row>
    <row r="8" spans="3:26" ht="18.5" thickTop="1" x14ac:dyDescent="0.55000000000000004">
      <c r="C8" s="2">
        <v>0.2</v>
      </c>
      <c r="D8" s="3"/>
      <c r="F8" s="1">
        <v>0.2</v>
      </c>
      <c r="G8" s="1">
        <v>0.13</v>
      </c>
      <c r="I8" s="32">
        <v>0.2</v>
      </c>
      <c r="J8" s="33">
        <v>7.0000000000000001E-3</v>
      </c>
      <c r="K8" s="34">
        <f t="shared" ref="K8:K71" si="0">(9194*I8)</f>
        <v>1838.8000000000002</v>
      </c>
      <c r="L8" s="35">
        <f>(10^6*J8/K8)</f>
        <v>3.8068305416576025</v>
      </c>
      <c r="N8" s="1" t="s">
        <v>2</v>
      </c>
      <c r="U8" s="8">
        <v>0</v>
      </c>
      <c r="V8" s="5">
        <v>0</v>
      </c>
      <c r="W8" s="8">
        <v>2.5</v>
      </c>
      <c r="X8" s="5">
        <v>0.04</v>
      </c>
      <c r="Y8" s="8">
        <v>-3.5</v>
      </c>
      <c r="Z8" s="5">
        <v>-0.04</v>
      </c>
    </row>
    <row r="9" spans="3:26" x14ac:dyDescent="0.55000000000000004">
      <c r="C9" s="2">
        <v>0.4</v>
      </c>
      <c r="D9" s="3"/>
      <c r="F9" s="1">
        <v>0.4</v>
      </c>
      <c r="G9" s="1">
        <v>0.3</v>
      </c>
      <c r="I9" s="36">
        <v>0.4</v>
      </c>
      <c r="J9" s="3">
        <v>1.2E-2</v>
      </c>
      <c r="K9" s="1">
        <f t="shared" si="0"/>
        <v>3677.6000000000004</v>
      </c>
      <c r="L9" s="37">
        <f t="shared" ref="L9:L72" si="1">(10^6*J9/K9)</f>
        <v>3.2629976071350879</v>
      </c>
      <c r="U9" s="8">
        <v>0.2</v>
      </c>
      <c r="V9" s="5">
        <v>2E-3</v>
      </c>
      <c r="W9" s="8">
        <v>2</v>
      </c>
      <c r="X9" s="5">
        <v>2.5000000000000001E-2</v>
      </c>
      <c r="Y9" s="8">
        <v>-3</v>
      </c>
      <c r="Z9" s="5">
        <v>-3.4000000000000002E-2</v>
      </c>
    </row>
    <row r="10" spans="3:26" x14ac:dyDescent="0.55000000000000004">
      <c r="C10" s="2">
        <v>0.6</v>
      </c>
      <c r="D10" s="3"/>
      <c r="F10" s="1">
        <v>0.6</v>
      </c>
      <c r="G10" s="1">
        <v>0.33</v>
      </c>
      <c r="I10" s="36">
        <v>0.6</v>
      </c>
      <c r="J10" s="3">
        <v>1.9E-2</v>
      </c>
      <c r="K10" s="1">
        <f t="shared" si="0"/>
        <v>5516.4</v>
      </c>
      <c r="L10" s="37">
        <f t="shared" si="1"/>
        <v>3.4442752519759265</v>
      </c>
      <c r="U10" s="8">
        <v>0.4</v>
      </c>
      <c r="V10" s="5">
        <v>5.0000000000000001E-3</v>
      </c>
      <c r="W10" s="8">
        <v>1.5</v>
      </c>
      <c r="X10" s="5">
        <v>1.9E-2</v>
      </c>
      <c r="Y10" s="8">
        <v>-2.5</v>
      </c>
      <c r="Z10" s="5">
        <v>-2.9000000000000001E-2</v>
      </c>
    </row>
    <row r="11" spans="3:26" x14ac:dyDescent="0.55000000000000004">
      <c r="C11" s="2">
        <v>0.8</v>
      </c>
      <c r="D11" s="3"/>
      <c r="F11" s="1">
        <v>0.8</v>
      </c>
      <c r="G11" s="1">
        <v>0.48</v>
      </c>
      <c r="I11" s="36">
        <v>0.8</v>
      </c>
      <c r="J11" s="3">
        <v>2.5000000000000001E-2</v>
      </c>
      <c r="K11" s="1">
        <f t="shared" si="0"/>
        <v>7355.2000000000007</v>
      </c>
      <c r="L11" s="37">
        <f t="shared" si="1"/>
        <v>3.3989558407657166</v>
      </c>
      <c r="U11" s="8">
        <v>0.6</v>
      </c>
      <c r="V11" s="5">
        <v>8.9999999999999993E-3</v>
      </c>
      <c r="W11" s="8">
        <v>1</v>
      </c>
      <c r="X11" s="5">
        <v>1.2999999999999999E-2</v>
      </c>
      <c r="Y11" s="8">
        <v>-2</v>
      </c>
      <c r="Z11" s="5">
        <v>-2.1000000000000001E-2</v>
      </c>
    </row>
    <row r="12" spans="3:26" x14ac:dyDescent="0.55000000000000004">
      <c r="C12" s="2">
        <v>1</v>
      </c>
      <c r="D12" s="3"/>
      <c r="F12" s="1">
        <v>1</v>
      </c>
      <c r="G12" s="1">
        <v>0.51</v>
      </c>
      <c r="I12" s="36">
        <v>1</v>
      </c>
      <c r="J12" s="3">
        <v>0.03</v>
      </c>
      <c r="K12" s="1">
        <f t="shared" si="0"/>
        <v>9194</v>
      </c>
      <c r="L12" s="37">
        <f t="shared" si="1"/>
        <v>3.2629976071350879</v>
      </c>
      <c r="U12" s="8">
        <v>0.8</v>
      </c>
      <c r="V12" s="5">
        <v>0.01</v>
      </c>
      <c r="W12" s="8">
        <v>0.5</v>
      </c>
      <c r="X12" s="5">
        <v>8.9999999999999993E-3</v>
      </c>
      <c r="Y12" s="8">
        <v>-1.5</v>
      </c>
      <c r="Z12" s="5">
        <v>-1.7999999999999999E-2</v>
      </c>
    </row>
    <row r="13" spans="3:26" x14ac:dyDescent="0.55000000000000004">
      <c r="C13" s="2">
        <v>1.5</v>
      </c>
      <c r="D13" s="3"/>
      <c r="F13" s="1">
        <v>1.5</v>
      </c>
      <c r="G13" s="1">
        <v>0.62</v>
      </c>
      <c r="I13" s="36">
        <v>1.5</v>
      </c>
      <c r="J13" s="3">
        <v>4.9000000000000002E-2</v>
      </c>
      <c r="K13" s="1">
        <f t="shared" si="0"/>
        <v>13791</v>
      </c>
      <c r="L13" s="37">
        <f t="shared" si="1"/>
        <v>3.5530418388804295</v>
      </c>
      <c r="U13" s="8">
        <v>1</v>
      </c>
      <c r="V13" s="5">
        <v>1.2E-2</v>
      </c>
      <c r="W13" s="8">
        <v>0</v>
      </c>
      <c r="X13" s="5">
        <v>1E-3</v>
      </c>
      <c r="Y13" s="8">
        <v>-1</v>
      </c>
      <c r="Z13" s="5">
        <v>-0.01</v>
      </c>
    </row>
    <row r="14" spans="3:26" x14ac:dyDescent="0.55000000000000004">
      <c r="C14" s="2">
        <v>2</v>
      </c>
      <c r="D14" s="3"/>
      <c r="F14" s="1">
        <v>2</v>
      </c>
      <c r="G14" s="1">
        <v>0.73</v>
      </c>
      <c r="I14" s="36">
        <v>2</v>
      </c>
      <c r="J14" s="3">
        <v>6.2E-2</v>
      </c>
      <c r="K14" s="1">
        <f t="shared" si="0"/>
        <v>18388</v>
      </c>
      <c r="L14" s="37">
        <f t="shared" si="1"/>
        <v>3.3717641940395908</v>
      </c>
      <c r="U14" s="8">
        <v>1.5</v>
      </c>
      <c r="V14" s="5">
        <v>1.9E-2</v>
      </c>
      <c r="W14" s="8">
        <v>-0.5</v>
      </c>
      <c r="X14" s="5">
        <v>-5.0000000000000001E-3</v>
      </c>
      <c r="Y14" s="8">
        <v>-0.5</v>
      </c>
      <c r="Z14" s="5">
        <v>-5.0000000000000001E-3</v>
      </c>
    </row>
    <row r="15" spans="3:26" x14ac:dyDescent="0.55000000000000004">
      <c r="C15" s="2">
        <v>2.5</v>
      </c>
      <c r="D15" s="3"/>
      <c r="F15" s="1">
        <v>2.5</v>
      </c>
      <c r="G15" s="1">
        <v>0.82</v>
      </c>
      <c r="I15" s="36">
        <v>2.5</v>
      </c>
      <c r="J15" s="3">
        <v>7.1999999999999995E-2</v>
      </c>
      <c r="K15" s="1">
        <f t="shared" si="0"/>
        <v>22985</v>
      </c>
      <c r="L15" s="37">
        <f t="shared" si="1"/>
        <v>3.1324777028496844</v>
      </c>
      <c r="U15" s="8">
        <v>2</v>
      </c>
      <c r="V15" s="5">
        <v>2.4E-2</v>
      </c>
      <c r="W15" s="8">
        <v>-1</v>
      </c>
      <c r="X15" s="5">
        <v>-0.01</v>
      </c>
      <c r="Y15" s="8">
        <v>0</v>
      </c>
      <c r="Z15" s="5">
        <v>0</v>
      </c>
    </row>
    <row r="16" spans="3:26" x14ac:dyDescent="0.55000000000000004">
      <c r="C16" s="2">
        <v>3</v>
      </c>
      <c r="D16" s="3"/>
      <c r="F16" s="1">
        <v>3</v>
      </c>
      <c r="G16" s="1">
        <v>0.9</v>
      </c>
      <c r="I16" s="36">
        <v>3</v>
      </c>
      <c r="J16" s="3">
        <v>9.2999999999999999E-2</v>
      </c>
      <c r="K16" s="1">
        <f t="shared" si="0"/>
        <v>27582</v>
      </c>
      <c r="L16" s="37">
        <f t="shared" si="1"/>
        <v>3.3717641940395908</v>
      </c>
      <c r="U16" s="8">
        <v>2.5</v>
      </c>
      <c r="V16" s="5">
        <v>0.03</v>
      </c>
      <c r="W16" s="8">
        <v>-1.5</v>
      </c>
      <c r="X16" s="5">
        <v>-1.7000000000000001E-2</v>
      </c>
      <c r="Y16" s="8">
        <v>0.5</v>
      </c>
      <c r="Z16" s="5">
        <v>7.0000000000000001E-3</v>
      </c>
    </row>
    <row r="17" spans="3:26" x14ac:dyDescent="0.55000000000000004">
      <c r="C17" s="2">
        <v>3.5</v>
      </c>
      <c r="D17" s="3"/>
      <c r="F17" s="1">
        <v>3.5</v>
      </c>
      <c r="G17" s="1">
        <v>0.98</v>
      </c>
      <c r="I17" s="36">
        <v>3.5</v>
      </c>
      <c r="J17" s="3">
        <v>0.12</v>
      </c>
      <c r="K17" s="1">
        <f t="shared" si="0"/>
        <v>32179</v>
      </c>
      <c r="L17" s="37">
        <f t="shared" si="1"/>
        <v>3.7291401224401008</v>
      </c>
      <c r="U17" s="8">
        <v>3</v>
      </c>
      <c r="V17" s="5">
        <v>3.5000000000000003E-2</v>
      </c>
      <c r="W17" s="8">
        <v>-2</v>
      </c>
      <c r="X17" s="5">
        <v>-2.1999999999999999E-2</v>
      </c>
      <c r="Y17" s="8">
        <v>1</v>
      </c>
      <c r="Z17" s="5">
        <v>1.2E-2</v>
      </c>
    </row>
    <row r="18" spans="3:26" x14ac:dyDescent="0.55000000000000004">
      <c r="C18" s="2">
        <v>4</v>
      </c>
      <c r="D18" s="3"/>
      <c r="F18" s="1">
        <v>4</v>
      </c>
      <c r="G18" s="1">
        <v>1.02</v>
      </c>
      <c r="I18" s="36">
        <v>4</v>
      </c>
      <c r="J18" s="3">
        <v>0.14000000000000001</v>
      </c>
      <c r="K18" s="1">
        <f t="shared" si="0"/>
        <v>36776</v>
      </c>
      <c r="L18" s="37">
        <f t="shared" si="1"/>
        <v>3.8068305416576029</v>
      </c>
      <c r="U18" s="8">
        <v>3.5</v>
      </c>
      <c r="V18" s="5">
        <v>0.04</v>
      </c>
      <c r="W18" s="8">
        <v>-2.5</v>
      </c>
      <c r="X18" s="5">
        <v>-2.9000000000000001E-2</v>
      </c>
      <c r="Y18" s="8">
        <v>1.5</v>
      </c>
      <c r="Z18" s="5">
        <v>0.02</v>
      </c>
    </row>
    <row r="19" spans="3:26" x14ac:dyDescent="0.55000000000000004">
      <c r="C19" s="2">
        <v>4.5</v>
      </c>
      <c r="D19" s="3"/>
      <c r="F19" s="1">
        <v>4.5</v>
      </c>
      <c r="G19" s="1">
        <v>1.0900000000000001</v>
      </c>
      <c r="I19" s="36">
        <v>4.5</v>
      </c>
      <c r="J19" s="3">
        <v>0.21</v>
      </c>
      <c r="K19" s="1">
        <f t="shared" si="0"/>
        <v>41373</v>
      </c>
      <c r="L19" s="37">
        <f t="shared" si="1"/>
        <v>5.0757740555434703</v>
      </c>
      <c r="U19" s="8">
        <v>4</v>
      </c>
      <c r="V19" s="5">
        <v>4.7E-2</v>
      </c>
      <c r="W19" s="8">
        <v>-3</v>
      </c>
      <c r="X19" s="5">
        <v>-3.4000000000000002E-2</v>
      </c>
      <c r="Y19" s="8">
        <v>2</v>
      </c>
      <c r="Z19" s="5">
        <v>2.5000000000000001E-2</v>
      </c>
    </row>
    <row r="20" spans="3:26" x14ac:dyDescent="0.55000000000000004">
      <c r="C20" s="2">
        <v>5</v>
      </c>
      <c r="D20" s="3"/>
      <c r="F20" s="1">
        <v>5</v>
      </c>
      <c r="G20" s="1">
        <v>1.1299999999999999</v>
      </c>
      <c r="I20" s="36">
        <v>5</v>
      </c>
      <c r="J20" s="3">
        <v>0.28999999999999998</v>
      </c>
      <c r="K20" s="1">
        <f t="shared" si="0"/>
        <v>45970</v>
      </c>
      <c r="L20" s="37">
        <f t="shared" si="1"/>
        <v>6.30846204046117</v>
      </c>
      <c r="U20" s="8">
        <v>4.5</v>
      </c>
      <c r="V20" s="5">
        <v>5.0999999999999997E-2</v>
      </c>
      <c r="W20" s="8">
        <v>-3.5</v>
      </c>
      <c r="X20" s="5">
        <v>-0.04</v>
      </c>
      <c r="Y20" s="8">
        <v>2.5</v>
      </c>
      <c r="Z20" s="5">
        <v>0.03</v>
      </c>
    </row>
    <row r="21" spans="3:26" x14ac:dyDescent="0.55000000000000004">
      <c r="C21" s="2">
        <v>4.5</v>
      </c>
      <c r="D21" s="3"/>
      <c r="F21" s="1">
        <v>4.5</v>
      </c>
      <c r="G21" s="1">
        <v>1.1000000000000001</v>
      </c>
      <c r="I21" s="36">
        <v>5.5</v>
      </c>
      <c r="J21" s="3">
        <v>0.32</v>
      </c>
      <c r="K21" s="1">
        <f t="shared" si="0"/>
        <v>50567</v>
      </c>
      <c r="L21" s="37">
        <f t="shared" si="1"/>
        <v>6.3282377835347159</v>
      </c>
      <c r="U21" s="8">
        <v>5</v>
      </c>
      <c r="V21" s="5">
        <v>5.8000000000000003E-2</v>
      </c>
      <c r="W21" s="8">
        <v>-4</v>
      </c>
      <c r="X21" s="5">
        <v>-4.4999999999999998E-2</v>
      </c>
      <c r="Y21" s="8">
        <v>3</v>
      </c>
      <c r="Z21" s="5">
        <v>3.5999999999999997E-2</v>
      </c>
    </row>
    <row r="22" spans="3:26" x14ac:dyDescent="0.55000000000000004">
      <c r="C22" s="2">
        <v>4</v>
      </c>
      <c r="D22" s="3"/>
      <c r="F22" s="1">
        <v>4</v>
      </c>
      <c r="G22" s="1">
        <v>1.08</v>
      </c>
      <c r="I22" s="36">
        <v>6</v>
      </c>
      <c r="J22" s="3">
        <v>0.4</v>
      </c>
      <c r="K22" s="1">
        <f t="shared" si="0"/>
        <v>55164</v>
      </c>
      <c r="L22" s="37">
        <f t="shared" si="1"/>
        <v>7.2511057936335295</v>
      </c>
      <c r="U22" s="8">
        <v>4.5</v>
      </c>
      <c r="V22" s="5">
        <v>5.0999999999999997E-2</v>
      </c>
      <c r="W22" s="8">
        <v>-4.5</v>
      </c>
      <c r="X22" s="5">
        <v>-0.05</v>
      </c>
      <c r="Y22" s="8">
        <v>3.5</v>
      </c>
      <c r="Z22" s="5">
        <v>4.1000000000000002E-2</v>
      </c>
    </row>
    <row r="23" spans="3:26" x14ac:dyDescent="0.55000000000000004">
      <c r="C23" s="2">
        <v>3.5</v>
      </c>
      <c r="D23" s="3"/>
      <c r="F23" s="1">
        <v>3.5</v>
      </c>
      <c r="G23" s="1">
        <v>1</v>
      </c>
      <c r="I23" s="38">
        <v>6.5</v>
      </c>
      <c r="J23" s="39">
        <v>0.499</v>
      </c>
      <c r="K23" s="40">
        <f t="shared" si="0"/>
        <v>59761</v>
      </c>
      <c r="L23" s="41">
        <f t="shared" si="1"/>
        <v>8.3499272100533801</v>
      </c>
      <c r="U23" s="8">
        <v>4</v>
      </c>
      <c r="V23" s="5">
        <v>4.8000000000000001E-2</v>
      </c>
      <c r="W23" s="8">
        <v>-5</v>
      </c>
      <c r="X23" s="5">
        <v>-5.6000000000000001E-2</v>
      </c>
      <c r="Y23" s="8">
        <v>4</v>
      </c>
      <c r="Z23" s="5">
        <v>4.7E-2</v>
      </c>
    </row>
    <row r="24" spans="3:26" x14ac:dyDescent="0.55000000000000004">
      <c r="C24" s="2">
        <v>3</v>
      </c>
      <c r="D24" s="3"/>
      <c r="F24" s="1">
        <v>3</v>
      </c>
      <c r="G24" s="1">
        <v>0.92</v>
      </c>
      <c r="I24" s="2">
        <v>6</v>
      </c>
      <c r="J24" s="3">
        <v>0.49</v>
      </c>
      <c r="K24" s="1">
        <f t="shared" si="0"/>
        <v>55164</v>
      </c>
      <c r="L24" s="1">
        <f t="shared" si="1"/>
        <v>8.8826045972010732</v>
      </c>
      <c r="U24" s="8">
        <v>3.5</v>
      </c>
      <c r="V24" s="5">
        <v>4.1000000000000002E-2</v>
      </c>
      <c r="W24" s="8">
        <v>-4.5</v>
      </c>
      <c r="X24" s="5">
        <v>-0.05</v>
      </c>
      <c r="Y24" s="8">
        <v>4.5</v>
      </c>
      <c r="Z24" s="5">
        <v>5.1999999999999998E-2</v>
      </c>
    </row>
    <row r="25" spans="3:26" ht="18.5" thickBot="1" x14ac:dyDescent="0.6">
      <c r="C25" s="2">
        <v>2.5</v>
      </c>
      <c r="D25" s="3"/>
      <c r="F25" s="1">
        <v>2.5</v>
      </c>
      <c r="G25" s="1">
        <v>0.88</v>
      </c>
      <c r="I25" s="2">
        <v>5.5</v>
      </c>
      <c r="J25" s="3">
        <v>0.48</v>
      </c>
      <c r="K25" s="1">
        <f t="shared" si="0"/>
        <v>50567</v>
      </c>
      <c r="L25" s="1">
        <f t="shared" si="1"/>
        <v>9.4923566753020747</v>
      </c>
      <c r="N25" s="1" t="s">
        <v>4</v>
      </c>
      <c r="U25" s="9">
        <v>3</v>
      </c>
      <c r="V25" s="6">
        <v>3.5999999999999997E-2</v>
      </c>
      <c r="W25" s="9">
        <v>-4</v>
      </c>
      <c r="X25" s="6">
        <v>-4.3999999999999997E-2</v>
      </c>
      <c r="Y25" s="9">
        <v>5</v>
      </c>
      <c r="Z25" s="6">
        <v>5.3999999999999999E-2</v>
      </c>
    </row>
    <row r="26" spans="3:26" x14ac:dyDescent="0.55000000000000004">
      <c r="C26" s="2">
        <v>2</v>
      </c>
      <c r="D26" s="3"/>
      <c r="F26" s="1">
        <v>2</v>
      </c>
      <c r="G26" s="1">
        <v>0.8</v>
      </c>
      <c r="I26" s="2">
        <v>5</v>
      </c>
      <c r="J26" s="3">
        <v>0.46500000000000002</v>
      </c>
      <c r="K26" s="1">
        <f t="shared" si="0"/>
        <v>45970</v>
      </c>
      <c r="L26" s="1">
        <f t="shared" si="1"/>
        <v>10.115292582118773</v>
      </c>
    </row>
    <row r="27" spans="3:26" x14ac:dyDescent="0.55000000000000004">
      <c r="C27" s="2">
        <v>1.5</v>
      </c>
      <c r="D27" s="3"/>
      <c r="F27" s="1">
        <v>1.5</v>
      </c>
      <c r="G27" s="1">
        <v>0.7</v>
      </c>
      <c r="I27" s="2">
        <v>4.5</v>
      </c>
      <c r="J27" s="3">
        <v>0.42</v>
      </c>
      <c r="K27" s="1">
        <f t="shared" si="0"/>
        <v>41373</v>
      </c>
      <c r="L27" s="1">
        <f t="shared" si="1"/>
        <v>10.151548111086941</v>
      </c>
      <c r="U27" s="1" t="s">
        <v>4</v>
      </c>
    </row>
    <row r="28" spans="3:26" ht="18.5" thickBot="1" x14ac:dyDescent="0.6">
      <c r="C28" s="2">
        <v>1</v>
      </c>
      <c r="D28" s="3"/>
      <c r="F28" s="1">
        <v>1</v>
      </c>
      <c r="G28" s="1">
        <v>0.59</v>
      </c>
      <c r="I28" s="2">
        <v>4</v>
      </c>
      <c r="J28" s="3">
        <v>0.40200000000000002</v>
      </c>
      <c r="K28" s="1">
        <f t="shared" si="0"/>
        <v>36776</v>
      </c>
      <c r="L28" s="1">
        <f t="shared" si="1"/>
        <v>10.931041983902546</v>
      </c>
    </row>
    <row r="29" spans="3:26" ht="18.5" thickBot="1" x14ac:dyDescent="0.6">
      <c r="C29" s="2">
        <v>0.5</v>
      </c>
      <c r="D29" s="3"/>
      <c r="F29" s="1">
        <v>0.5</v>
      </c>
      <c r="G29" s="1">
        <v>0.42</v>
      </c>
      <c r="I29" s="2">
        <v>3.5</v>
      </c>
      <c r="J29" s="3">
        <v>0.40500000000000003</v>
      </c>
      <c r="K29" s="1">
        <f t="shared" si="0"/>
        <v>32179</v>
      </c>
      <c r="L29" s="1">
        <f t="shared" si="1"/>
        <v>12.585847913235339</v>
      </c>
      <c r="U29" s="7" t="s">
        <v>0</v>
      </c>
      <c r="V29" s="11" t="s">
        <v>1</v>
      </c>
      <c r="W29" s="7" t="s">
        <v>0</v>
      </c>
      <c r="X29" s="4" t="s">
        <v>1</v>
      </c>
      <c r="Y29" s="12" t="s">
        <v>0</v>
      </c>
      <c r="Z29" s="4" t="s">
        <v>1</v>
      </c>
    </row>
    <row r="30" spans="3:26" ht="18.5" thickTop="1" x14ac:dyDescent="0.55000000000000004">
      <c r="C30" s="2">
        <v>0</v>
      </c>
      <c r="D30" s="3"/>
      <c r="F30" s="1">
        <v>0</v>
      </c>
      <c r="G30" s="1">
        <v>0.01</v>
      </c>
      <c r="I30" s="2">
        <v>3</v>
      </c>
      <c r="J30" s="3">
        <v>0.4</v>
      </c>
      <c r="K30" s="1">
        <f t="shared" si="0"/>
        <v>27582</v>
      </c>
      <c r="L30" s="1">
        <f t="shared" si="1"/>
        <v>14.502211587267059</v>
      </c>
      <c r="U30" s="8">
        <v>0</v>
      </c>
      <c r="V30" s="3">
        <v>0</v>
      </c>
      <c r="W30" s="8">
        <v>3</v>
      </c>
      <c r="X30" s="5">
        <v>0.28000000000000003</v>
      </c>
      <c r="Y30" s="10">
        <v>-4.5</v>
      </c>
      <c r="Z30" s="5">
        <v>-0.42</v>
      </c>
    </row>
    <row r="31" spans="3:26" x14ac:dyDescent="0.55000000000000004">
      <c r="C31" s="2">
        <v>-0.5</v>
      </c>
      <c r="D31" s="3"/>
      <c r="F31" s="1">
        <v>-0.5</v>
      </c>
      <c r="G31" s="1">
        <v>-0.33</v>
      </c>
      <c r="I31" s="2">
        <v>2.5</v>
      </c>
      <c r="J31" s="3">
        <v>0.39</v>
      </c>
      <c r="K31" s="1">
        <f t="shared" si="0"/>
        <v>22985</v>
      </c>
      <c r="L31" s="1">
        <f>(10^6*J31/K31)</f>
        <v>16.967587557102458</v>
      </c>
      <c r="U31" s="8">
        <v>0.2</v>
      </c>
      <c r="V31" s="3">
        <v>5.0000000000000001E-3</v>
      </c>
      <c r="W31" s="8">
        <v>2.5</v>
      </c>
      <c r="X31" s="5">
        <v>0.27</v>
      </c>
      <c r="Y31" s="10">
        <v>-4</v>
      </c>
      <c r="Z31" s="5">
        <v>-0.41</v>
      </c>
    </row>
    <row r="32" spans="3:26" x14ac:dyDescent="0.55000000000000004">
      <c r="C32" s="2">
        <v>-1</v>
      </c>
      <c r="D32" s="3"/>
      <c r="F32" s="1">
        <v>-1</v>
      </c>
      <c r="G32" s="1">
        <v>-0.56999999999999995</v>
      </c>
      <c r="I32" s="2">
        <v>2</v>
      </c>
      <c r="J32" s="3">
        <v>0.38</v>
      </c>
      <c r="K32" s="1">
        <f t="shared" si="0"/>
        <v>18388</v>
      </c>
      <c r="L32" s="1">
        <f t="shared" si="1"/>
        <v>20.665651511855557</v>
      </c>
      <c r="U32" s="8">
        <v>0.4</v>
      </c>
      <c r="V32" s="3">
        <v>0.01</v>
      </c>
      <c r="W32" s="8">
        <v>2</v>
      </c>
      <c r="X32" s="5">
        <v>0.26</v>
      </c>
      <c r="Y32" s="10">
        <v>-3.5</v>
      </c>
      <c r="Z32" s="5">
        <v>-0.4</v>
      </c>
    </row>
    <row r="33" spans="3:32" ht="18.5" thickBot="1" x14ac:dyDescent="0.6">
      <c r="C33" s="2">
        <v>-1.5</v>
      </c>
      <c r="D33" s="3"/>
      <c r="F33" s="1">
        <v>-1.5</v>
      </c>
      <c r="G33" s="1">
        <v>-0.69</v>
      </c>
      <c r="I33" s="2">
        <v>1.5</v>
      </c>
      <c r="J33" s="3">
        <v>0.36</v>
      </c>
      <c r="K33" s="1">
        <f t="shared" si="0"/>
        <v>13791</v>
      </c>
      <c r="L33" s="1">
        <f t="shared" si="1"/>
        <v>26.103980857080703</v>
      </c>
      <c r="U33" s="8">
        <v>0.6</v>
      </c>
      <c r="V33" s="3">
        <v>1.7999999999999999E-2</v>
      </c>
      <c r="W33" s="8">
        <v>1.5</v>
      </c>
      <c r="X33" s="5">
        <v>0.24</v>
      </c>
      <c r="Y33" s="10">
        <v>-3</v>
      </c>
      <c r="Z33" s="5">
        <v>-0.4</v>
      </c>
    </row>
    <row r="34" spans="3:32" ht="18.5" thickBot="1" x14ac:dyDescent="0.6">
      <c r="C34" s="2">
        <v>-2</v>
      </c>
      <c r="D34" s="3"/>
      <c r="F34" s="1">
        <v>-2</v>
      </c>
      <c r="G34" s="1">
        <v>-0.8</v>
      </c>
      <c r="I34" s="2">
        <v>1</v>
      </c>
      <c r="J34" s="3">
        <v>0.33</v>
      </c>
      <c r="K34" s="1">
        <f t="shared" si="0"/>
        <v>9194</v>
      </c>
      <c r="L34" s="1">
        <f t="shared" si="1"/>
        <v>35.892973678485966</v>
      </c>
      <c r="U34" s="8">
        <v>0.8</v>
      </c>
      <c r="V34" s="3">
        <v>2.4E-2</v>
      </c>
      <c r="W34" s="8">
        <v>1</v>
      </c>
      <c r="X34" s="5">
        <v>0.22</v>
      </c>
      <c r="Y34" s="10">
        <v>-2.5</v>
      </c>
      <c r="Z34" s="5">
        <v>-0.39</v>
      </c>
      <c r="AC34" s="23"/>
      <c r="AD34" s="7" t="s">
        <v>9</v>
      </c>
      <c r="AE34" s="26" t="s">
        <v>10</v>
      </c>
      <c r="AF34" s="4" t="s">
        <v>11</v>
      </c>
    </row>
    <row r="35" spans="3:32" ht="18.5" thickTop="1" x14ac:dyDescent="0.55000000000000004">
      <c r="C35" s="2">
        <v>-2.5</v>
      </c>
      <c r="D35" s="3"/>
      <c r="F35" s="1">
        <v>-2.5</v>
      </c>
      <c r="G35" s="1">
        <v>-0.87</v>
      </c>
      <c r="I35" s="2">
        <v>0.5</v>
      </c>
      <c r="J35" s="3">
        <v>0.32</v>
      </c>
      <c r="K35" s="1">
        <f t="shared" si="0"/>
        <v>4597</v>
      </c>
      <c r="L35" s="1">
        <f t="shared" si="1"/>
        <v>69.61061561888188</v>
      </c>
      <c r="U35" s="8">
        <v>1</v>
      </c>
      <c r="V35" s="3">
        <v>0.03</v>
      </c>
      <c r="W35" s="8">
        <v>0.5</v>
      </c>
      <c r="X35" s="5">
        <v>0.2</v>
      </c>
      <c r="Y35" s="10">
        <v>-2</v>
      </c>
      <c r="Z35" s="5">
        <v>-0.38</v>
      </c>
      <c r="AC35" s="28" t="s">
        <v>12</v>
      </c>
      <c r="AD35" s="29">
        <v>34477</v>
      </c>
      <c r="AE35" s="30">
        <v>0.19</v>
      </c>
      <c r="AF35" s="31">
        <v>0.39</v>
      </c>
    </row>
    <row r="36" spans="3:32" ht="18.5" thickBot="1" x14ac:dyDescent="0.6">
      <c r="C36" s="2">
        <v>-3</v>
      </c>
      <c r="D36" s="3"/>
      <c r="F36" s="1">
        <v>-3</v>
      </c>
      <c r="G36" s="1">
        <v>-0.95</v>
      </c>
      <c r="I36" s="2">
        <v>0</v>
      </c>
      <c r="J36" s="3">
        <v>0.3</v>
      </c>
      <c r="K36" s="1">
        <f t="shared" si="0"/>
        <v>0</v>
      </c>
      <c r="L36" s="1" t="e">
        <f t="shared" si="1"/>
        <v>#DIV/0!</v>
      </c>
      <c r="U36" s="8">
        <v>1.5</v>
      </c>
      <c r="V36" s="3">
        <v>4.5999999999999999E-2</v>
      </c>
      <c r="W36" s="8">
        <v>0</v>
      </c>
      <c r="X36" s="5">
        <v>0.19</v>
      </c>
      <c r="Y36" s="10">
        <v>-1.5</v>
      </c>
      <c r="Z36" s="5">
        <v>-0.35</v>
      </c>
      <c r="AC36" s="24" t="s">
        <v>13</v>
      </c>
      <c r="AD36" s="25">
        <v>-34845</v>
      </c>
      <c r="AE36" s="27">
        <v>-0.3</v>
      </c>
      <c r="AF36" s="18">
        <v>-0.39</v>
      </c>
    </row>
    <row r="37" spans="3:32" x14ac:dyDescent="0.55000000000000004">
      <c r="C37" s="2">
        <v>-3.5</v>
      </c>
      <c r="D37" s="3"/>
      <c r="F37" s="1">
        <v>-3.5</v>
      </c>
      <c r="G37" s="1">
        <v>-1.02</v>
      </c>
      <c r="I37" s="2">
        <v>-0.5</v>
      </c>
      <c r="J37" s="3">
        <v>0.28999999999999998</v>
      </c>
      <c r="K37" s="1">
        <f t="shared" si="0"/>
        <v>-4597</v>
      </c>
      <c r="L37" s="1">
        <f t="shared" si="1"/>
        <v>-63.084620404611705</v>
      </c>
      <c r="U37" s="8">
        <v>2</v>
      </c>
      <c r="V37" s="3">
        <v>6.4000000000000001E-2</v>
      </c>
      <c r="W37" s="8">
        <v>-0.5</v>
      </c>
      <c r="X37" s="5">
        <v>0.18</v>
      </c>
      <c r="Y37" s="10">
        <v>-1</v>
      </c>
      <c r="Z37" s="5">
        <v>-0.32</v>
      </c>
    </row>
    <row r="38" spans="3:32" x14ac:dyDescent="0.55000000000000004">
      <c r="C38" s="2">
        <v>-4</v>
      </c>
      <c r="D38" s="3"/>
      <c r="F38" s="1">
        <v>-4</v>
      </c>
      <c r="G38" s="1">
        <v>-1.1000000000000001</v>
      </c>
      <c r="I38" s="2">
        <v>-1</v>
      </c>
      <c r="J38" s="3">
        <v>0.28000000000000003</v>
      </c>
      <c r="K38" s="1">
        <f t="shared" si="0"/>
        <v>-9194</v>
      </c>
      <c r="L38" s="1">
        <f t="shared" si="1"/>
        <v>-30.454644333260823</v>
      </c>
      <c r="U38" s="8">
        <v>2.5</v>
      </c>
      <c r="V38" s="3">
        <v>8.1000000000000003E-2</v>
      </c>
      <c r="W38" s="8">
        <v>-1</v>
      </c>
      <c r="X38" s="5">
        <v>0.15</v>
      </c>
      <c r="Y38" s="10">
        <v>-0.5</v>
      </c>
      <c r="Z38" s="5">
        <v>-0.3</v>
      </c>
    </row>
    <row r="39" spans="3:32" x14ac:dyDescent="0.55000000000000004">
      <c r="C39" s="2">
        <v>-4.5</v>
      </c>
      <c r="D39" s="3"/>
      <c r="F39" s="1">
        <v>-4.5</v>
      </c>
      <c r="G39" s="1">
        <v>-1.1299999999999999</v>
      </c>
      <c r="I39" s="2">
        <v>-1.5</v>
      </c>
      <c r="J39" s="3">
        <v>0.26</v>
      </c>
      <c r="K39" s="1">
        <f t="shared" si="0"/>
        <v>-13791</v>
      </c>
      <c r="L39" s="1">
        <f t="shared" si="1"/>
        <v>-18.852875063447176</v>
      </c>
      <c r="U39" s="8">
        <v>3</v>
      </c>
      <c r="V39" s="3">
        <v>0.10100000000000001</v>
      </c>
      <c r="W39" s="8">
        <v>-1.5</v>
      </c>
      <c r="X39" s="5">
        <v>0.12</v>
      </c>
      <c r="Y39" s="10">
        <v>0</v>
      </c>
      <c r="Z39" s="5">
        <v>-0.3</v>
      </c>
    </row>
    <row r="40" spans="3:32" x14ac:dyDescent="0.55000000000000004">
      <c r="C40" s="2">
        <v>-5</v>
      </c>
      <c r="D40" s="3"/>
      <c r="F40" s="1">
        <v>-5</v>
      </c>
      <c r="G40" s="1">
        <v>-1.23</v>
      </c>
      <c r="I40" s="2">
        <v>-2</v>
      </c>
      <c r="J40" s="3">
        <v>0.23</v>
      </c>
      <c r="K40" s="1">
        <f t="shared" si="0"/>
        <v>-18388</v>
      </c>
      <c r="L40" s="1">
        <f t="shared" si="1"/>
        <v>-12.508157494017837</v>
      </c>
      <c r="N40" s="1" t="s">
        <v>3</v>
      </c>
      <c r="U40" s="8">
        <v>3.5</v>
      </c>
      <c r="V40" s="3">
        <v>0.122</v>
      </c>
      <c r="W40" s="8">
        <v>-2</v>
      </c>
      <c r="X40" s="5">
        <v>0.11</v>
      </c>
      <c r="Y40" s="10">
        <v>0.5</v>
      </c>
      <c r="Z40" s="5">
        <v>-0.28999999999999998</v>
      </c>
    </row>
    <row r="41" spans="3:32" x14ac:dyDescent="0.55000000000000004">
      <c r="C41" s="2">
        <v>-4.5</v>
      </c>
      <c r="D41" s="3"/>
      <c r="F41" s="1">
        <v>-4.5</v>
      </c>
      <c r="G41" s="1">
        <v>-1.19</v>
      </c>
      <c r="I41" s="2">
        <v>-2.5</v>
      </c>
      <c r="J41" s="3">
        <v>0.20499999999999999</v>
      </c>
      <c r="K41" s="1">
        <f t="shared" si="0"/>
        <v>-22985</v>
      </c>
      <c r="L41" s="1">
        <f t="shared" si="1"/>
        <v>-8.9188601261692408</v>
      </c>
      <c r="U41" s="8">
        <v>4</v>
      </c>
      <c r="V41" s="3">
        <v>0.14799999999999999</v>
      </c>
      <c r="W41" s="8">
        <v>-2.5</v>
      </c>
      <c r="X41" s="5">
        <v>0.1</v>
      </c>
      <c r="Y41" s="10">
        <v>1</v>
      </c>
      <c r="Z41" s="5">
        <v>-0.28000000000000003</v>
      </c>
    </row>
    <row r="42" spans="3:32" x14ac:dyDescent="0.55000000000000004">
      <c r="C42" s="2">
        <v>-4</v>
      </c>
      <c r="D42" s="3"/>
      <c r="F42" s="1">
        <v>-4</v>
      </c>
      <c r="G42" s="1">
        <v>-1.1100000000000001</v>
      </c>
      <c r="I42" s="2">
        <v>-3</v>
      </c>
      <c r="J42" s="3">
        <v>0.14000000000000001</v>
      </c>
      <c r="K42" s="1">
        <f t="shared" si="0"/>
        <v>-27582</v>
      </c>
      <c r="L42" s="1">
        <f t="shared" si="1"/>
        <v>-5.0757740555434703</v>
      </c>
      <c r="U42" s="8">
        <v>4.5</v>
      </c>
      <c r="V42" s="3">
        <v>0.15</v>
      </c>
      <c r="W42" s="8">
        <v>-3</v>
      </c>
      <c r="X42" s="5">
        <v>8.3000000000000004E-2</v>
      </c>
      <c r="Y42" s="10">
        <v>1.5</v>
      </c>
      <c r="Z42" s="5">
        <v>-0.24</v>
      </c>
    </row>
    <row r="43" spans="3:32" x14ac:dyDescent="0.55000000000000004">
      <c r="C43" s="2">
        <v>-3.5</v>
      </c>
      <c r="D43" s="3"/>
      <c r="F43" s="1">
        <v>-3.5</v>
      </c>
      <c r="G43" s="1">
        <v>-1.05</v>
      </c>
      <c r="I43" s="2">
        <v>-3.5</v>
      </c>
      <c r="J43" s="3">
        <v>0.1</v>
      </c>
      <c r="K43" s="1">
        <f t="shared" si="0"/>
        <v>-32179</v>
      </c>
      <c r="L43" s="1">
        <f t="shared" si="1"/>
        <v>-3.1076167687000837</v>
      </c>
      <c r="U43" s="8">
        <v>5</v>
      </c>
      <c r="V43" s="3">
        <v>0.19</v>
      </c>
      <c r="W43" s="8">
        <v>-3.5</v>
      </c>
      <c r="X43" s="5">
        <v>4.2000000000000003E-2</v>
      </c>
      <c r="Y43" s="10">
        <v>2</v>
      </c>
      <c r="Z43" s="5">
        <v>-0.22</v>
      </c>
    </row>
    <row r="44" spans="3:32" x14ac:dyDescent="0.55000000000000004">
      <c r="C44" s="2">
        <v>-3</v>
      </c>
      <c r="D44" s="3"/>
      <c r="F44" s="1">
        <v>-3</v>
      </c>
      <c r="G44" s="1">
        <v>-1</v>
      </c>
      <c r="I44" s="2">
        <v>-4</v>
      </c>
      <c r="J44" s="3">
        <v>0.03</v>
      </c>
      <c r="K44" s="1">
        <f t="shared" si="0"/>
        <v>-36776</v>
      </c>
      <c r="L44" s="1">
        <f t="shared" si="1"/>
        <v>-0.81574940178377198</v>
      </c>
      <c r="U44" s="8">
        <v>5.5</v>
      </c>
      <c r="V44" s="3">
        <v>0.25</v>
      </c>
      <c r="W44" s="8">
        <v>-4</v>
      </c>
      <c r="X44" s="5">
        <v>-0.03</v>
      </c>
      <c r="Y44" s="10">
        <v>2.5</v>
      </c>
      <c r="Z44" s="5">
        <v>-0.2</v>
      </c>
    </row>
    <row r="45" spans="3:32" x14ac:dyDescent="0.55000000000000004">
      <c r="C45" s="2">
        <v>-2.5</v>
      </c>
      <c r="D45" s="3"/>
      <c r="F45" s="1">
        <v>-2.5</v>
      </c>
      <c r="G45" s="1">
        <v>-0.92</v>
      </c>
      <c r="I45" s="2">
        <v>-4.5</v>
      </c>
      <c r="J45" s="3">
        <v>-0.02</v>
      </c>
      <c r="K45" s="1">
        <f t="shared" si="0"/>
        <v>-41373</v>
      </c>
      <c r="L45" s="1">
        <f t="shared" si="1"/>
        <v>0.48340705290890196</v>
      </c>
      <c r="U45" s="8">
        <v>6</v>
      </c>
      <c r="V45" s="3">
        <v>0.3</v>
      </c>
      <c r="W45" s="8">
        <v>-4.5</v>
      </c>
      <c r="X45" s="5">
        <v>-0.112</v>
      </c>
      <c r="Y45" s="10">
        <v>3</v>
      </c>
      <c r="Z45" s="5">
        <v>-0.15</v>
      </c>
    </row>
    <row r="46" spans="3:32" x14ac:dyDescent="0.55000000000000004">
      <c r="C46" s="2">
        <v>-2</v>
      </c>
      <c r="D46" s="3"/>
      <c r="F46" s="1">
        <v>-2</v>
      </c>
      <c r="G46" s="1">
        <v>-0.83</v>
      </c>
      <c r="I46" s="2">
        <v>-5</v>
      </c>
      <c r="J46" s="3">
        <v>-0.12</v>
      </c>
      <c r="K46" s="1">
        <f t="shared" si="0"/>
        <v>-45970</v>
      </c>
      <c r="L46" s="1">
        <f t="shared" si="1"/>
        <v>2.6103980857080704</v>
      </c>
      <c r="U46" s="8">
        <v>6.5</v>
      </c>
      <c r="V46" s="3">
        <v>0.36</v>
      </c>
      <c r="W46" s="8">
        <v>-5</v>
      </c>
      <c r="X46" s="5">
        <v>-0.24</v>
      </c>
      <c r="Y46" s="10">
        <v>3.5</v>
      </c>
      <c r="Z46" s="5">
        <v>-3.1E-2</v>
      </c>
    </row>
    <row r="47" spans="3:32" x14ac:dyDescent="0.55000000000000004">
      <c r="C47" s="2">
        <v>-1.5</v>
      </c>
      <c r="D47" s="3"/>
      <c r="F47" s="1">
        <v>-1.5</v>
      </c>
      <c r="G47" s="1">
        <v>-0.72</v>
      </c>
      <c r="I47" s="2">
        <v>-5.5</v>
      </c>
      <c r="J47" s="3">
        <v>-0.2</v>
      </c>
      <c r="K47" s="1">
        <f t="shared" si="0"/>
        <v>-50567</v>
      </c>
      <c r="L47" s="1">
        <f>(10^6*J47/K47)</f>
        <v>3.9551486147091977</v>
      </c>
      <c r="U47" s="8">
        <v>6</v>
      </c>
      <c r="V47" s="3">
        <v>0.35</v>
      </c>
      <c r="W47" s="8">
        <v>-5.5</v>
      </c>
      <c r="X47" s="5">
        <v>-0.31</v>
      </c>
      <c r="Y47" s="10">
        <v>4</v>
      </c>
      <c r="Z47" s="5">
        <v>0.03</v>
      </c>
    </row>
    <row r="48" spans="3:32" x14ac:dyDescent="0.55000000000000004">
      <c r="C48" s="2">
        <v>-1</v>
      </c>
      <c r="D48" s="3"/>
      <c r="F48" s="1">
        <v>-1</v>
      </c>
      <c r="G48" s="1">
        <v>-0.62</v>
      </c>
      <c r="I48" s="2">
        <v>-6</v>
      </c>
      <c r="J48" s="3">
        <v>-0.3</v>
      </c>
      <c r="K48" s="1">
        <f t="shared" si="0"/>
        <v>-55164</v>
      </c>
      <c r="L48" s="1">
        <f t="shared" si="1"/>
        <v>5.4383293452251467</v>
      </c>
      <c r="U48" s="8">
        <v>5.5</v>
      </c>
      <c r="V48" s="3">
        <v>0.32</v>
      </c>
      <c r="W48" s="8">
        <v>-6</v>
      </c>
      <c r="X48" s="5">
        <v>-0.4</v>
      </c>
      <c r="Y48" s="10">
        <v>4.5</v>
      </c>
      <c r="Z48" s="5">
        <v>0.11700000000000001</v>
      </c>
    </row>
    <row r="49" spans="3:26" x14ac:dyDescent="0.55000000000000004">
      <c r="C49" s="2">
        <v>-0.5</v>
      </c>
      <c r="D49" s="3"/>
      <c r="F49" s="1">
        <v>-0.5</v>
      </c>
      <c r="G49" s="1">
        <v>-0.43</v>
      </c>
      <c r="I49" s="2">
        <v>-6.5</v>
      </c>
      <c r="J49" s="3">
        <v>-0.39</v>
      </c>
      <c r="K49" s="1">
        <f t="shared" si="0"/>
        <v>-59761</v>
      </c>
      <c r="L49" s="1">
        <f t="shared" si="1"/>
        <v>6.5259952142701758</v>
      </c>
      <c r="U49" s="8">
        <v>5</v>
      </c>
      <c r="V49" s="3">
        <v>0.31</v>
      </c>
      <c r="W49" s="8">
        <v>-6.5</v>
      </c>
      <c r="X49" s="5">
        <v>-0.49</v>
      </c>
      <c r="Y49" s="10">
        <v>5</v>
      </c>
      <c r="Z49" s="5">
        <v>0.13</v>
      </c>
    </row>
    <row r="50" spans="3:26" x14ac:dyDescent="0.55000000000000004">
      <c r="C50" s="2">
        <v>0</v>
      </c>
      <c r="D50" s="3"/>
      <c r="F50" s="1">
        <v>0</v>
      </c>
      <c r="G50" s="1">
        <v>-0.05</v>
      </c>
      <c r="I50" s="2">
        <v>-6</v>
      </c>
      <c r="J50" s="3">
        <v>-0.37</v>
      </c>
      <c r="K50" s="1">
        <f t="shared" si="0"/>
        <v>-55164</v>
      </c>
      <c r="L50" s="1">
        <f t="shared" si="1"/>
        <v>6.707272859111014</v>
      </c>
      <c r="U50" s="8">
        <v>4.5</v>
      </c>
      <c r="V50" s="3">
        <v>0.3</v>
      </c>
      <c r="W50" s="8">
        <v>-6</v>
      </c>
      <c r="X50" s="5">
        <v>-0.48</v>
      </c>
      <c r="Y50" s="10">
        <v>5.5</v>
      </c>
      <c r="Z50" s="5">
        <v>0.21</v>
      </c>
    </row>
    <row r="51" spans="3:26" x14ac:dyDescent="0.55000000000000004">
      <c r="C51" s="2">
        <v>0.5</v>
      </c>
      <c r="D51" s="3"/>
      <c r="F51" s="1">
        <v>0.5</v>
      </c>
      <c r="G51" s="1">
        <v>0.23</v>
      </c>
      <c r="I51" s="2">
        <v>-5.5</v>
      </c>
      <c r="J51" s="3">
        <v>-0.35</v>
      </c>
      <c r="K51" s="1">
        <f t="shared" si="0"/>
        <v>-50567</v>
      </c>
      <c r="L51" s="1">
        <f t="shared" si="1"/>
        <v>6.9215100757410957</v>
      </c>
      <c r="U51" s="8">
        <v>4</v>
      </c>
      <c r="V51" s="3">
        <v>0.3</v>
      </c>
      <c r="W51" s="8">
        <v>-5.5</v>
      </c>
      <c r="X51" s="5">
        <v>-0.47</v>
      </c>
      <c r="Y51" s="10">
        <v>6</v>
      </c>
      <c r="Z51" s="5">
        <v>0.3</v>
      </c>
    </row>
    <row r="52" spans="3:26" ht="18.5" thickBot="1" x14ac:dyDescent="0.6">
      <c r="C52" s="2">
        <v>1</v>
      </c>
      <c r="D52" s="3"/>
      <c r="F52" s="1">
        <v>1</v>
      </c>
      <c r="G52" s="1">
        <v>0.52</v>
      </c>
      <c r="I52" s="2">
        <v>-5</v>
      </c>
      <c r="J52" s="3">
        <v>-0.33</v>
      </c>
      <c r="K52" s="1">
        <f t="shared" si="0"/>
        <v>-45970</v>
      </c>
      <c r="L52" s="1">
        <f t="shared" si="1"/>
        <v>7.1785947356971942</v>
      </c>
      <c r="U52" s="9">
        <v>3.5</v>
      </c>
      <c r="V52" s="13">
        <v>0.28999999999999998</v>
      </c>
      <c r="W52" s="9">
        <v>-5</v>
      </c>
      <c r="X52" s="6">
        <v>-0.45</v>
      </c>
      <c r="Y52" s="14">
        <v>6.5</v>
      </c>
      <c r="Z52" s="6">
        <v>0.39</v>
      </c>
    </row>
    <row r="53" spans="3:26" x14ac:dyDescent="0.55000000000000004">
      <c r="C53" s="2">
        <v>1.5</v>
      </c>
      <c r="D53" s="3"/>
      <c r="F53" s="1">
        <v>1.5</v>
      </c>
      <c r="G53" s="1">
        <v>0.67</v>
      </c>
      <c r="I53" s="2">
        <v>-4.5</v>
      </c>
      <c r="J53" s="3">
        <v>-0.315</v>
      </c>
      <c r="K53" s="1">
        <f t="shared" si="0"/>
        <v>-41373</v>
      </c>
      <c r="L53" s="1">
        <f t="shared" si="1"/>
        <v>7.6136610833152059</v>
      </c>
      <c r="U53" s="2"/>
      <c r="V53" s="3"/>
    </row>
    <row r="54" spans="3:26" ht="18.5" thickBot="1" x14ac:dyDescent="0.6">
      <c r="C54" s="2">
        <v>2</v>
      </c>
      <c r="D54" s="3"/>
      <c r="F54" s="1">
        <v>2</v>
      </c>
      <c r="G54" s="1">
        <v>0.75</v>
      </c>
      <c r="I54" s="2">
        <v>-4</v>
      </c>
      <c r="J54" s="3">
        <v>-0.30199999999999999</v>
      </c>
      <c r="K54" s="1">
        <f t="shared" si="0"/>
        <v>-36776</v>
      </c>
      <c r="L54" s="1">
        <f t="shared" si="1"/>
        <v>8.211877311289971</v>
      </c>
      <c r="U54" s="2" t="s">
        <v>3</v>
      </c>
      <c r="V54" s="3"/>
    </row>
    <row r="55" spans="3:26" ht="18.5" thickBot="1" x14ac:dyDescent="0.6">
      <c r="C55" s="2">
        <v>2.5</v>
      </c>
      <c r="D55" s="3"/>
      <c r="F55" s="1">
        <v>2.5</v>
      </c>
      <c r="G55" s="1">
        <v>0.83</v>
      </c>
      <c r="I55" s="2">
        <v>-3.5</v>
      </c>
      <c r="J55" s="3">
        <v>-0.3</v>
      </c>
      <c r="K55" s="1">
        <f t="shared" si="0"/>
        <v>-32179</v>
      </c>
      <c r="L55" s="1">
        <f t="shared" si="1"/>
        <v>9.3228503061002517</v>
      </c>
      <c r="U55" s="50" t="s">
        <v>6</v>
      </c>
      <c r="V55" s="51" t="s">
        <v>7</v>
      </c>
      <c r="W55" s="50" t="s">
        <v>6</v>
      </c>
      <c r="X55" s="52" t="s">
        <v>7</v>
      </c>
      <c r="Y55" s="50" t="s">
        <v>6</v>
      </c>
      <c r="Z55" s="52" t="s">
        <v>7</v>
      </c>
    </row>
    <row r="56" spans="3:26" ht="18.5" thickTop="1" x14ac:dyDescent="0.55000000000000004">
      <c r="C56" s="2">
        <v>3</v>
      </c>
      <c r="D56" s="3"/>
      <c r="F56" s="1">
        <v>3</v>
      </c>
      <c r="G56" s="1">
        <v>0.91</v>
      </c>
      <c r="I56" s="2">
        <v>-3</v>
      </c>
      <c r="J56" s="3">
        <v>-0.28999999999999998</v>
      </c>
      <c r="K56" s="1">
        <f t="shared" si="0"/>
        <v>-27582</v>
      </c>
      <c r="L56" s="1">
        <f t="shared" si="1"/>
        <v>10.514103400768617</v>
      </c>
      <c r="U56" s="53">
        <v>0</v>
      </c>
      <c r="V56" s="54">
        <v>0</v>
      </c>
      <c r="W56" s="53">
        <v>2.5</v>
      </c>
      <c r="X56" s="55">
        <v>1.1000000000000001</v>
      </c>
      <c r="Y56" s="53">
        <v>-3.5</v>
      </c>
      <c r="Z56" s="55">
        <v>-1.19</v>
      </c>
    </row>
    <row r="57" spans="3:26" x14ac:dyDescent="0.55000000000000004">
      <c r="C57" s="2">
        <v>3.5</v>
      </c>
      <c r="D57" s="3"/>
      <c r="F57" s="1">
        <v>3.5</v>
      </c>
      <c r="G57" s="1">
        <v>0.99</v>
      </c>
      <c r="I57" s="2">
        <v>-2.5</v>
      </c>
      <c r="J57" s="3">
        <v>-0.28000000000000003</v>
      </c>
      <c r="K57" s="1">
        <f t="shared" si="0"/>
        <v>-22985</v>
      </c>
      <c r="L57" s="1">
        <f t="shared" si="1"/>
        <v>12.181857733304328</v>
      </c>
      <c r="U57" s="53">
        <v>0.2</v>
      </c>
      <c r="V57" s="54">
        <v>0.11</v>
      </c>
      <c r="W57" s="53">
        <v>2</v>
      </c>
      <c r="X57" s="55">
        <v>1.01</v>
      </c>
      <c r="Y57" s="53">
        <v>-3</v>
      </c>
      <c r="Z57" s="55">
        <v>-1.1200000000000001</v>
      </c>
    </row>
    <row r="58" spans="3:26" x14ac:dyDescent="0.55000000000000004">
      <c r="C58" s="2">
        <v>4</v>
      </c>
      <c r="D58" s="3"/>
      <c r="F58" s="1">
        <v>4</v>
      </c>
      <c r="G58" s="1">
        <v>1.07</v>
      </c>
      <c r="I58" s="2">
        <v>-2</v>
      </c>
      <c r="J58" s="3">
        <v>-0.255</v>
      </c>
      <c r="K58" s="1">
        <f t="shared" si="0"/>
        <v>-18388</v>
      </c>
      <c r="L58" s="1">
        <f t="shared" si="1"/>
        <v>13.867739830324124</v>
      </c>
      <c r="U58" s="53">
        <v>0.4</v>
      </c>
      <c r="V58" s="54">
        <v>0.32</v>
      </c>
      <c r="W58" s="53">
        <v>1.5</v>
      </c>
      <c r="X58" s="55">
        <v>0.91</v>
      </c>
      <c r="Y58" s="53">
        <v>-2.5</v>
      </c>
      <c r="Z58" s="55">
        <v>-1.05</v>
      </c>
    </row>
    <row r="59" spans="3:26" x14ac:dyDescent="0.55000000000000004">
      <c r="C59" s="2">
        <v>4.5</v>
      </c>
      <c r="D59" s="3"/>
      <c r="F59" s="1">
        <v>4.5</v>
      </c>
      <c r="G59" s="1">
        <v>1.1200000000000001</v>
      </c>
      <c r="I59" s="2">
        <v>-1.5</v>
      </c>
      <c r="J59" s="3">
        <v>-0.22500000000000001</v>
      </c>
      <c r="K59" s="1">
        <f t="shared" si="0"/>
        <v>-13791</v>
      </c>
      <c r="L59" s="1">
        <f t="shared" si="1"/>
        <v>16.314988035675441</v>
      </c>
      <c r="U59" s="53">
        <v>0.6</v>
      </c>
      <c r="V59" s="54">
        <v>0.45</v>
      </c>
      <c r="W59" s="53">
        <v>1</v>
      </c>
      <c r="X59" s="55">
        <v>0.75</v>
      </c>
      <c r="Y59" s="53">
        <v>-2</v>
      </c>
      <c r="Z59" s="55">
        <v>-0.99</v>
      </c>
    </row>
    <row r="60" spans="3:26" x14ac:dyDescent="0.55000000000000004">
      <c r="C60" s="2">
        <v>5</v>
      </c>
      <c r="D60" s="3"/>
      <c r="F60" s="1">
        <v>5</v>
      </c>
      <c r="G60" s="1">
        <v>1.2</v>
      </c>
      <c r="I60" s="2">
        <v>-1</v>
      </c>
      <c r="J60" s="3">
        <v>-0.217</v>
      </c>
      <c r="K60" s="1">
        <f t="shared" si="0"/>
        <v>-9194</v>
      </c>
      <c r="L60" s="1">
        <f t="shared" si="1"/>
        <v>23.602349358277138</v>
      </c>
      <c r="U60" s="53">
        <v>0.8</v>
      </c>
      <c r="V60" s="54">
        <v>0.59</v>
      </c>
      <c r="W60" s="53">
        <v>0.5</v>
      </c>
      <c r="X60" s="55">
        <v>0.5</v>
      </c>
      <c r="Y60" s="53">
        <v>-1.5</v>
      </c>
      <c r="Z60" s="55">
        <v>-0.89</v>
      </c>
    </row>
    <row r="61" spans="3:26" x14ac:dyDescent="0.55000000000000004">
      <c r="I61" s="2">
        <v>-0.5</v>
      </c>
      <c r="J61" s="3">
        <v>-0.20300000000000001</v>
      </c>
      <c r="K61" s="1">
        <f t="shared" si="0"/>
        <v>-4597</v>
      </c>
      <c r="L61" s="1">
        <f t="shared" si="1"/>
        <v>44.159234283228194</v>
      </c>
      <c r="U61" s="53">
        <v>1</v>
      </c>
      <c r="V61" s="54">
        <v>0.69</v>
      </c>
      <c r="W61" s="53">
        <v>0</v>
      </c>
      <c r="X61" s="55">
        <v>0.08</v>
      </c>
      <c r="Y61" s="53">
        <v>-1</v>
      </c>
      <c r="Z61" s="55">
        <v>-0.7</v>
      </c>
    </row>
    <row r="62" spans="3:26" x14ac:dyDescent="0.55000000000000004">
      <c r="I62" s="2">
        <v>0</v>
      </c>
      <c r="J62" s="3">
        <v>-0.19</v>
      </c>
      <c r="K62" s="1">
        <f t="shared" si="0"/>
        <v>0</v>
      </c>
      <c r="L62" s="1" t="e">
        <f t="shared" si="1"/>
        <v>#DIV/0!</v>
      </c>
      <c r="U62" s="53">
        <v>1.5</v>
      </c>
      <c r="V62" s="54">
        <v>0.9</v>
      </c>
      <c r="W62" s="53">
        <v>-0.5</v>
      </c>
      <c r="X62" s="55">
        <v>-0.35</v>
      </c>
      <c r="Y62" s="53">
        <v>-0.5</v>
      </c>
      <c r="Z62" s="55">
        <v>-0.42</v>
      </c>
    </row>
    <row r="63" spans="3:26" x14ac:dyDescent="0.55000000000000004">
      <c r="I63" s="2">
        <v>0.5</v>
      </c>
      <c r="J63" s="3">
        <v>-0.17</v>
      </c>
      <c r="K63" s="1">
        <f t="shared" si="0"/>
        <v>4597</v>
      </c>
      <c r="L63" s="1">
        <f t="shared" si="1"/>
        <v>-36.980639547530998</v>
      </c>
      <c r="U63" s="53">
        <v>2</v>
      </c>
      <c r="V63" s="54">
        <v>1</v>
      </c>
      <c r="W63" s="53">
        <v>-1</v>
      </c>
      <c r="X63" s="55">
        <v>-0.65</v>
      </c>
      <c r="Y63" s="53">
        <v>0</v>
      </c>
      <c r="Z63" s="55">
        <v>-0.2</v>
      </c>
    </row>
    <row r="64" spans="3:26" x14ac:dyDescent="0.55000000000000004">
      <c r="I64" s="2">
        <v>1</v>
      </c>
      <c r="J64" s="3">
        <v>-0.16</v>
      </c>
      <c r="K64" s="1">
        <f t="shared" si="0"/>
        <v>9194</v>
      </c>
      <c r="L64" s="1">
        <f t="shared" si="1"/>
        <v>-17.40265390472047</v>
      </c>
      <c r="U64" s="53">
        <v>2.5</v>
      </c>
      <c r="V64" s="54">
        <v>1.08</v>
      </c>
      <c r="W64" s="53">
        <v>-1.5</v>
      </c>
      <c r="X64" s="55">
        <v>-0.82</v>
      </c>
      <c r="Y64" s="53">
        <v>0.5</v>
      </c>
      <c r="Z64" s="55">
        <v>-0.39</v>
      </c>
    </row>
    <row r="65" spans="9:26" x14ac:dyDescent="0.55000000000000004">
      <c r="I65" s="2">
        <v>1.5</v>
      </c>
      <c r="J65" s="3">
        <v>-0.13</v>
      </c>
      <c r="K65" s="1">
        <f t="shared" si="0"/>
        <v>13791</v>
      </c>
      <c r="L65" s="1">
        <f t="shared" si="1"/>
        <v>-9.4264375317235878</v>
      </c>
      <c r="U65" s="53">
        <v>3</v>
      </c>
      <c r="V65" s="54">
        <v>1.1499999999999999</v>
      </c>
      <c r="W65" s="53">
        <v>-2</v>
      </c>
      <c r="X65" s="55">
        <v>-0.98</v>
      </c>
      <c r="Y65" s="53">
        <v>1</v>
      </c>
      <c r="Z65" s="55">
        <v>-0.7</v>
      </c>
    </row>
    <row r="66" spans="9:26" x14ac:dyDescent="0.55000000000000004">
      <c r="I66" s="2">
        <v>2</v>
      </c>
      <c r="J66" s="3">
        <v>-0.12</v>
      </c>
      <c r="K66" s="1">
        <f t="shared" si="0"/>
        <v>18388</v>
      </c>
      <c r="L66" s="1">
        <f t="shared" si="1"/>
        <v>-6.5259952142701758</v>
      </c>
      <c r="U66" s="53">
        <v>3.5</v>
      </c>
      <c r="V66" s="54">
        <v>1.2</v>
      </c>
      <c r="W66" s="53">
        <v>-2.5</v>
      </c>
      <c r="X66" s="55">
        <v>-1.05</v>
      </c>
      <c r="Y66" s="53">
        <v>1.5</v>
      </c>
      <c r="Z66" s="55">
        <v>-0.89</v>
      </c>
    </row>
    <row r="67" spans="9:26" ht="18.5" thickBot="1" x14ac:dyDescent="0.6">
      <c r="I67" s="2">
        <v>2.5</v>
      </c>
      <c r="J67" s="3">
        <v>-0.1</v>
      </c>
      <c r="K67" s="1">
        <f t="shared" si="0"/>
        <v>22985</v>
      </c>
      <c r="L67" s="1">
        <f t="shared" si="1"/>
        <v>-4.3506634761801175</v>
      </c>
      <c r="U67" s="53">
        <v>4</v>
      </c>
      <c r="V67" s="54">
        <v>1.23</v>
      </c>
      <c r="W67" s="53">
        <v>-3</v>
      </c>
      <c r="X67" s="55">
        <v>-1.1100000000000001</v>
      </c>
      <c r="Y67" s="53">
        <v>2</v>
      </c>
      <c r="Z67" s="55">
        <v>-0.99</v>
      </c>
    </row>
    <row r="68" spans="9:26" ht="20.5" thickBot="1" x14ac:dyDescent="0.6">
      <c r="I68" s="2">
        <v>3</v>
      </c>
      <c r="J68" s="3">
        <v>-0.03</v>
      </c>
      <c r="K68" s="1">
        <f t="shared" si="0"/>
        <v>27582</v>
      </c>
      <c r="L68" s="1">
        <f t="shared" si="1"/>
        <v>-1.0876658690450294</v>
      </c>
      <c r="N68" s="15" t="s">
        <v>0</v>
      </c>
      <c r="O68" s="26" t="s">
        <v>1</v>
      </c>
      <c r="P68" s="26" t="s">
        <v>15</v>
      </c>
      <c r="Q68" s="4" t="s">
        <v>16</v>
      </c>
      <c r="U68" s="53">
        <v>4.5</v>
      </c>
      <c r="V68" s="54">
        <v>1.29</v>
      </c>
      <c r="W68" s="53">
        <v>-3.5</v>
      </c>
      <c r="X68" s="55">
        <v>-1.18</v>
      </c>
      <c r="Y68" s="53">
        <v>2.5</v>
      </c>
      <c r="Z68" s="55">
        <v>-1.08</v>
      </c>
    </row>
    <row r="69" spans="9:26" ht="18.5" thickTop="1" x14ac:dyDescent="0.55000000000000004">
      <c r="I69" s="2">
        <v>3.5</v>
      </c>
      <c r="J69" s="3">
        <v>0.01</v>
      </c>
      <c r="K69" s="1">
        <f t="shared" si="0"/>
        <v>32179</v>
      </c>
      <c r="L69" s="1">
        <f t="shared" si="1"/>
        <v>0.31076167687000839</v>
      </c>
      <c r="N69" s="42">
        <v>0.2</v>
      </c>
      <c r="O69" s="44">
        <v>5.0000000000000001E-3</v>
      </c>
      <c r="P69" s="46">
        <f t="shared" ref="P69:P84" si="2">(9194*N69)</f>
        <v>1838.8000000000002</v>
      </c>
      <c r="Q69" s="16">
        <f>(10^6*O69/P69)</f>
        <v>2.7191646726125733</v>
      </c>
      <c r="U69" s="53">
        <v>5</v>
      </c>
      <c r="V69" s="54">
        <v>1.3</v>
      </c>
      <c r="W69" s="53">
        <v>-4</v>
      </c>
      <c r="X69" s="55">
        <v>-1.21</v>
      </c>
      <c r="Y69" s="53">
        <v>3</v>
      </c>
      <c r="Z69" s="55">
        <v>-1.1499999999999999</v>
      </c>
    </row>
    <row r="70" spans="9:26" x14ac:dyDescent="0.55000000000000004">
      <c r="I70" s="2">
        <v>4</v>
      </c>
      <c r="J70" s="3">
        <v>0.09</v>
      </c>
      <c r="K70" s="1">
        <f t="shared" si="0"/>
        <v>36776</v>
      </c>
      <c r="L70" s="1">
        <f>(10^6*J70/K70)</f>
        <v>2.447248205351316</v>
      </c>
      <c r="N70" s="42">
        <v>0.4</v>
      </c>
      <c r="O70" s="44">
        <v>0.01</v>
      </c>
      <c r="P70" s="46">
        <f t="shared" si="2"/>
        <v>3677.6000000000004</v>
      </c>
      <c r="Q70" s="16">
        <f t="shared" ref="Q70:Q84" si="3">(10^6*O70/P70)</f>
        <v>2.7191646726125733</v>
      </c>
      <c r="U70" s="53">
        <v>4.5</v>
      </c>
      <c r="V70" s="54">
        <v>1.29</v>
      </c>
      <c r="W70" s="53">
        <v>-4.5</v>
      </c>
      <c r="X70" s="55">
        <v>-1.28</v>
      </c>
      <c r="Y70" s="53">
        <v>3.5</v>
      </c>
      <c r="Z70" s="55">
        <v>-1.19</v>
      </c>
    </row>
    <row r="71" spans="9:26" x14ac:dyDescent="0.55000000000000004">
      <c r="I71" s="2">
        <v>4.5</v>
      </c>
      <c r="J71" s="3">
        <v>0.18</v>
      </c>
      <c r="K71" s="1">
        <f t="shared" si="0"/>
        <v>41373</v>
      </c>
      <c r="L71" s="1">
        <f t="shared" si="1"/>
        <v>4.3506634761801175</v>
      </c>
      <c r="N71" s="42">
        <v>0.6</v>
      </c>
      <c r="O71" s="44">
        <v>1.7999999999999999E-2</v>
      </c>
      <c r="P71" s="46">
        <f t="shared" si="2"/>
        <v>5516.4</v>
      </c>
      <c r="Q71" s="16">
        <f t="shared" si="3"/>
        <v>3.2629976071350884</v>
      </c>
      <c r="U71" s="53">
        <v>4</v>
      </c>
      <c r="V71" s="54">
        <v>1.22</v>
      </c>
      <c r="W71" s="53">
        <v>-5</v>
      </c>
      <c r="X71" s="55">
        <v>-1.3</v>
      </c>
      <c r="Y71" s="53">
        <v>4</v>
      </c>
      <c r="Z71" s="55">
        <v>-1.24</v>
      </c>
    </row>
    <row r="72" spans="9:26" x14ac:dyDescent="0.55000000000000004">
      <c r="I72" s="2">
        <v>5</v>
      </c>
      <c r="J72" s="3">
        <v>0.24</v>
      </c>
      <c r="K72" s="1">
        <f t="shared" ref="K72:K75" si="4">(9194*I72)</f>
        <v>45970</v>
      </c>
      <c r="L72" s="1">
        <f t="shared" si="1"/>
        <v>5.2207961714161408</v>
      </c>
      <c r="N72" s="42">
        <v>0.8</v>
      </c>
      <c r="O72" s="44">
        <v>2.4E-2</v>
      </c>
      <c r="P72" s="46">
        <f t="shared" si="2"/>
        <v>7355.2000000000007</v>
      </c>
      <c r="Q72" s="16">
        <f t="shared" si="3"/>
        <v>3.2629976071350879</v>
      </c>
      <c r="U72" s="53">
        <v>3.5</v>
      </c>
      <c r="V72" s="54">
        <v>1.2</v>
      </c>
      <c r="W72" s="53">
        <v>-4.5</v>
      </c>
      <c r="X72" s="55">
        <v>-1.25</v>
      </c>
      <c r="Y72" s="53">
        <v>4.5</v>
      </c>
      <c r="Z72" s="55">
        <v>-1.28</v>
      </c>
    </row>
    <row r="73" spans="9:26" ht="18.5" thickBot="1" x14ac:dyDescent="0.6">
      <c r="I73" s="2">
        <v>5.5</v>
      </c>
      <c r="J73" s="3">
        <v>0.32500000000000001</v>
      </c>
      <c r="K73" s="1">
        <f t="shared" si="4"/>
        <v>50567</v>
      </c>
      <c r="L73" s="1">
        <f t="shared" ref="L73:L75" si="5">(10^6*J73/K73)</f>
        <v>6.4271164989024463</v>
      </c>
      <c r="N73" s="42">
        <v>1</v>
      </c>
      <c r="O73" s="44">
        <v>0.03</v>
      </c>
      <c r="P73" s="46">
        <f t="shared" si="2"/>
        <v>9194</v>
      </c>
      <c r="Q73" s="16">
        <f t="shared" si="3"/>
        <v>3.2629976071350879</v>
      </c>
      <c r="U73" s="56">
        <v>3</v>
      </c>
      <c r="V73" s="57">
        <v>1.1499999999999999</v>
      </c>
      <c r="W73" s="56">
        <v>-4</v>
      </c>
      <c r="X73" s="58">
        <v>-1.21</v>
      </c>
      <c r="Y73" s="56">
        <v>5</v>
      </c>
      <c r="Z73" s="58">
        <v>-1.32</v>
      </c>
    </row>
    <row r="74" spans="9:26" x14ac:dyDescent="0.55000000000000004">
      <c r="I74" s="2">
        <v>6</v>
      </c>
      <c r="J74" s="3">
        <v>0.41</v>
      </c>
      <c r="K74" s="1">
        <f t="shared" si="4"/>
        <v>55164</v>
      </c>
      <c r="L74" s="1">
        <f t="shared" si="5"/>
        <v>7.4323834384743677</v>
      </c>
      <c r="N74" s="42">
        <v>1.5</v>
      </c>
      <c r="O74" s="44">
        <v>4.5999999999999999E-2</v>
      </c>
      <c r="P74" s="46">
        <f t="shared" si="2"/>
        <v>13791</v>
      </c>
      <c r="Q74" s="16">
        <f t="shared" si="3"/>
        <v>3.3355086650714232</v>
      </c>
      <c r="U74" s="2"/>
      <c r="V74" s="3"/>
    </row>
    <row r="75" spans="9:26" x14ac:dyDescent="0.55000000000000004">
      <c r="I75" s="2">
        <v>6.5</v>
      </c>
      <c r="J75" s="3">
        <v>0.505</v>
      </c>
      <c r="K75" s="1">
        <f t="shared" si="4"/>
        <v>59761</v>
      </c>
      <c r="L75" s="1">
        <f t="shared" si="5"/>
        <v>8.4503271364267665</v>
      </c>
      <c r="N75" s="42">
        <v>2</v>
      </c>
      <c r="O75" s="44">
        <v>6.4000000000000001E-2</v>
      </c>
      <c r="P75" s="46">
        <f t="shared" si="2"/>
        <v>18388</v>
      </c>
      <c r="Q75" s="16">
        <f t="shared" si="3"/>
        <v>3.4805307809440942</v>
      </c>
      <c r="U75" s="2"/>
      <c r="V75" s="3"/>
    </row>
    <row r="76" spans="9:26" ht="18.5" thickBot="1" x14ac:dyDescent="0.6">
      <c r="N76" s="42">
        <v>2.5</v>
      </c>
      <c r="O76" s="44">
        <v>8.1000000000000003E-2</v>
      </c>
      <c r="P76" s="46">
        <f t="shared" si="2"/>
        <v>22985</v>
      </c>
      <c r="Q76" s="16">
        <f t="shared" si="3"/>
        <v>3.5240374157058953</v>
      </c>
      <c r="U76" s="2"/>
      <c r="V76" s="3"/>
    </row>
    <row r="77" spans="9:26" ht="18.5" thickBot="1" x14ac:dyDescent="0.6">
      <c r="N77" s="42">
        <v>3</v>
      </c>
      <c r="O77" s="44">
        <v>0.10100000000000001</v>
      </c>
      <c r="P77" s="46">
        <f t="shared" si="2"/>
        <v>27582</v>
      </c>
      <c r="Q77" s="16">
        <f t="shared" si="3"/>
        <v>3.6618084257849324</v>
      </c>
      <c r="U77" s="7" t="s">
        <v>1</v>
      </c>
      <c r="V77" s="11" t="s">
        <v>8</v>
      </c>
      <c r="W77" s="7" t="s">
        <v>1</v>
      </c>
      <c r="X77" s="4" t="s">
        <v>8</v>
      </c>
      <c r="Y77" s="7" t="s">
        <v>1</v>
      </c>
      <c r="Z77" s="4" t="s">
        <v>8</v>
      </c>
    </row>
    <row r="78" spans="9:26" ht="18.5" thickTop="1" x14ac:dyDescent="0.55000000000000004">
      <c r="N78" s="42">
        <v>3.5</v>
      </c>
      <c r="O78" s="44">
        <v>0.122</v>
      </c>
      <c r="P78" s="46">
        <f t="shared" si="2"/>
        <v>32179</v>
      </c>
      <c r="Q78" s="16">
        <f t="shared" si="3"/>
        <v>3.7912924578141025</v>
      </c>
      <c r="U78" s="19">
        <v>0</v>
      </c>
      <c r="V78" s="1">
        <f t="shared" ref="V78:V100" si="6">(9194*I7)</f>
        <v>0</v>
      </c>
      <c r="W78" s="19">
        <v>0.28000000000000003</v>
      </c>
      <c r="X78" s="16">
        <f t="shared" ref="X78:X100" si="7">(9194*I30)</f>
        <v>27582</v>
      </c>
      <c r="Y78" s="19">
        <v>-0.42</v>
      </c>
      <c r="Z78" s="16">
        <f t="shared" ref="Z78:Z100" si="8">(9194*I53)</f>
        <v>-41373</v>
      </c>
    </row>
    <row r="79" spans="9:26" x14ac:dyDescent="0.55000000000000004">
      <c r="N79" s="42">
        <v>4</v>
      </c>
      <c r="O79" s="44">
        <v>0.14799999999999999</v>
      </c>
      <c r="P79" s="46">
        <f t="shared" si="2"/>
        <v>36776</v>
      </c>
      <c r="Q79" s="16">
        <f t="shared" si="3"/>
        <v>4.0243637154666088</v>
      </c>
      <c r="U79" s="19">
        <v>5.0000000000000001E-3</v>
      </c>
      <c r="V79" s="1">
        <f t="shared" si="6"/>
        <v>1838.8000000000002</v>
      </c>
      <c r="W79" s="19">
        <v>0.27</v>
      </c>
      <c r="X79" s="16">
        <f t="shared" si="7"/>
        <v>22985</v>
      </c>
      <c r="Y79" s="19">
        <v>-0.41</v>
      </c>
      <c r="Z79" s="16">
        <f t="shared" si="8"/>
        <v>-36776</v>
      </c>
    </row>
    <row r="80" spans="9:26" x14ac:dyDescent="0.55000000000000004">
      <c r="N80" s="42">
        <v>4.5</v>
      </c>
      <c r="O80" s="44">
        <v>0.15</v>
      </c>
      <c r="P80" s="46">
        <f t="shared" si="2"/>
        <v>41373</v>
      </c>
      <c r="Q80" s="16">
        <f t="shared" si="3"/>
        <v>3.6255528968167647</v>
      </c>
      <c r="U80" s="19">
        <v>0.01</v>
      </c>
      <c r="V80" s="1">
        <f t="shared" si="6"/>
        <v>3677.6000000000004</v>
      </c>
      <c r="W80" s="19">
        <v>0.26</v>
      </c>
      <c r="X80" s="16">
        <f t="shared" si="7"/>
        <v>18388</v>
      </c>
      <c r="Y80" s="19">
        <v>-0.4</v>
      </c>
      <c r="Z80" s="16">
        <f t="shared" si="8"/>
        <v>-32179</v>
      </c>
    </row>
    <row r="81" spans="14:26" x14ac:dyDescent="0.55000000000000004">
      <c r="N81" s="42">
        <v>5</v>
      </c>
      <c r="O81" s="44">
        <v>0.19</v>
      </c>
      <c r="P81" s="46">
        <f t="shared" si="2"/>
        <v>45970</v>
      </c>
      <c r="Q81" s="16">
        <f t="shared" si="3"/>
        <v>4.1331303023711117</v>
      </c>
      <c r="U81" s="19">
        <v>1.7999999999999999E-2</v>
      </c>
      <c r="V81" s="1">
        <f t="shared" si="6"/>
        <v>5516.4</v>
      </c>
      <c r="W81" s="19">
        <v>0.24</v>
      </c>
      <c r="X81" s="16">
        <f t="shared" si="7"/>
        <v>13791</v>
      </c>
      <c r="Y81" s="19">
        <v>-0.4</v>
      </c>
      <c r="Z81" s="16">
        <f t="shared" si="8"/>
        <v>-27582</v>
      </c>
    </row>
    <row r="82" spans="14:26" x14ac:dyDescent="0.55000000000000004">
      <c r="N82" s="42">
        <v>5.5</v>
      </c>
      <c r="O82" s="44">
        <v>0.25</v>
      </c>
      <c r="P82" s="46">
        <f t="shared" si="2"/>
        <v>50567</v>
      </c>
      <c r="Q82" s="16">
        <f t="shared" si="3"/>
        <v>4.9439357683864973</v>
      </c>
      <c r="U82" s="19">
        <v>2.4E-2</v>
      </c>
      <c r="V82" s="1">
        <f t="shared" si="6"/>
        <v>7355.2000000000007</v>
      </c>
      <c r="W82" s="19">
        <v>0.22</v>
      </c>
      <c r="X82" s="16">
        <f t="shared" si="7"/>
        <v>9194</v>
      </c>
      <c r="Y82" s="19">
        <v>-0.39</v>
      </c>
      <c r="Z82" s="16">
        <f t="shared" si="8"/>
        <v>-22985</v>
      </c>
    </row>
    <row r="83" spans="14:26" x14ac:dyDescent="0.55000000000000004">
      <c r="N83" s="42">
        <v>6</v>
      </c>
      <c r="O83" s="44">
        <v>0.3</v>
      </c>
      <c r="P83" s="46">
        <f t="shared" si="2"/>
        <v>55164</v>
      </c>
      <c r="Q83" s="16">
        <f t="shared" si="3"/>
        <v>5.4383293452251467</v>
      </c>
      <c r="U83" s="19">
        <v>0.03</v>
      </c>
      <c r="V83" s="1">
        <f t="shared" si="6"/>
        <v>9194</v>
      </c>
      <c r="W83" s="19">
        <v>0.2</v>
      </c>
      <c r="X83" s="16">
        <f t="shared" si="7"/>
        <v>4597</v>
      </c>
      <c r="Y83" s="19">
        <v>-0.38</v>
      </c>
      <c r="Z83" s="16">
        <f t="shared" si="8"/>
        <v>-18388</v>
      </c>
    </row>
    <row r="84" spans="14:26" ht="18.5" thickBot="1" x14ac:dyDescent="0.6">
      <c r="N84" s="43">
        <v>6.5</v>
      </c>
      <c r="O84" s="45">
        <v>0.36</v>
      </c>
      <c r="P84" s="47">
        <f t="shared" si="2"/>
        <v>59761</v>
      </c>
      <c r="Q84" s="18">
        <f t="shared" si="3"/>
        <v>6.0239955824032396</v>
      </c>
      <c r="U84" s="19">
        <v>4.5999999999999999E-2</v>
      </c>
      <c r="V84" s="1">
        <f t="shared" si="6"/>
        <v>13791</v>
      </c>
      <c r="W84" s="19">
        <v>0.19</v>
      </c>
      <c r="X84" s="16">
        <f t="shared" si="7"/>
        <v>0</v>
      </c>
      <c r="Y84" s="19">
        <v>-0.35</v>
      </c>
      <c r="Z84" s="16">
        <f t="shared" si="8"/>
        <v>-13791</v>
      </c>
    </row>
    <row r="85" spans="14:26" x14ac:dyDescent="0.55000000000000004">
      <c r="U85" s="19">
        <v>6.4000000000000001E-2</v>
      </c>
      <c r="V85" s="1">
        <f t="shared" si="6"/>
        <v>18388</v>
      </c>
      <c r="W85" s="19">
        <v>0.18</v>
      </c>
      <c r="X85" s="16">
        <f t="shared" si="7"/>
        <v>-4597</v>
      </c>
      <c r="Y85" s="19">
        <v>-0.32</v>
      </c>
      <c r="Z85" s="16">
        <f t="shared" si="8"/>
        <v>-9194</v>
      </c>
    </row>
    <row r="86" spans="14:26" x14ac:dyDescent="0.55000000000000004">
      <c r="U86" s="19">
        <v>8.1000000000000003E-2</v>
      </c>
      <c r="V86" s="1">
        <f t="shared" si="6"/>
        <v>22985</v>
      </c>
      <c r="W86" s="19">
        <v>0.15</v>
      </c>
      <c r="X86" s="16">
        <f t="shared" si="7"/>
        <v>-9194</v>
      </c>
      <c r="Y86" s="19">
        <v>-0.3</v>
      </c>
      <c r="Z86" s="16">
        <f t="shared" si="8"/>
        <v>-4597</v>
      </c>
    </row>
    <row r="87" spans="14:26" ht="18.5" thickBot="1" x14ac:dyDescent="0.6">
      <c r="U87" s="19">
        <v>0.10100000000000001</v>
      </c>
      <c r="V87" s="1">
        <f t="shared" si="6"/>
        <v>27582</v>
      </c>
      <c r="W87" s="19">
        <v>0.12</v>
      </c>
      <c r="X87" s="16">
        <f t="shared" si="7"/>
        <v>-13791</v>
      </c>
      <c r="Y87" s="19">
        <v>-0.3</v>
      </c>
      <c r="Z87" s="16">
        <f t="shared" si="8"/>
        <v>0</v>
      </c>
    </row>
    <row r="88" spans="14:26" ht="20.5" thickBot="1" x14ac:dyDescent="0.6">
      <c r="N88" s="15" t="s">
        <v>0</v>
      </c>
      <c r="O88" s="26" t="s">
        <v>17</v>
      </c>
      <c r="P88" s="26" t="s">
        <v>18</v>
      </c>
      <c r="Q88" s="4" t="s">
        <v>19</v>
      </c>
      <c r="U88" s="19">
        <v>0.122</v>
      </c>
      <c r="V88" s="1">
        <f t="shared" si="6"/>
        <v>32179</v>
      </c>
      <c r="W88" s="19">
        <v>0.11</v>
      </c>
      <c r="X88" s="16">
        <f t="shared" si="7"/>
        <v>-18388</v>
      </c>
      <c r="Y88" s="19">
        <v>-0.28999999999999998</v>
      </c>
      <c r="Z88" s="16">
        <f t="shared" si="8"/>
        <v>4597</v>
      </c>
    </row>
    <row r="89" spans="14:26" ht="18.5" thickTop="1" x14ac:dyDescent="0.55000000000000004">
      <c r="N89" s="21">
        <v>0.4</v>
      </c>
      <c r="O89" s="44">
        <v>4.7E-2</v>
      </c>
      <c r="P89" s="44">
        <v>0.01</v>
      </c>
      <c r="Q89" s="48">
        <f>(P89/O89)</f>
        <v>0.21276595744680851</v>
      </c>
      <c r="U89" s="19">
        <v>0.14799999999999999</v>
      </c>
      <c r="V89" s="1">
        <f t="shared" si="6"/>
        <v>36776</v>
      </c>
      <c r="W89" s="19">
        <v>0.1</v>
      </c>
      <c r="X89" s="16">
        <f t="shared" si="7"/>
        <v>-22985</v>
      </c>
      <c r="Y89" s="19">
        <v>-0.28000000000000003</v>
      </c>
      <c r="Z89" s="16">
        <f t="shared" si="8"/>
        <v>9194</v>
      </c>
    </row>
    <row r="90" spans="14:26" x14ac:dyDescent="0.55000000000000004">
      <c r="N90" s="21">
        <v>1</v>
      </c>
      <c r="O90" s="44">
        <v>1.2E-2</v>
      </c>
      <c r="P90" s="44">
        <v>0.03</v>
      </c>
      <c r="Q90" s="48">
        <f t="shared" ref="Q90:Q91" si="9">(P90/O90)</f>
        <v>2.5</v>
      </c>
      <c r="U90" s="19">
        <v>0.15</v>
      </c>
      <c r="V90" s="1">
        <f t="shared" si="6"/>
        <v>41373</v>
      </c>
      <c r="W90" s="19">
        <v>8.3000000000000004E-2</v>
      </c>
      <c r="X90" s="16">
        <f t="shared" si="7"/>
        <v>-27582</v>
      </c>
      <c r="Y90" s="19">
        <v>-0.24</v>
      </c>
      <c r="Z90" s="16">
        <f t="shared" si="8"/>
        <v>13791</v>
      </c>
    </row>
    <row r="91" spans="14:26" ht="18.5" thickBot="1" x14ac:dyDescent="0.6">
      <c r="N91" s="22">
        <v>1.5</v>
      </c>
      <c r="O91" s="45">
        <v>1.9E-2</v>
      </c>
      <c r="P91" s="45">
        <v>4.5999999999999999E-2</v>
      </c>
      <c r="Q91" s="49">
        <f t="shared" si="9"/>
        <v>2.4210526315789473</v>
      </c>
      <c r="U91" s="19">
        <v>0.19</v>
      </c>
      <c r="V91" s="1">
        <f t="shared" si="6"/>
        <v>45970</v>
      </c>
      <c r="W91" s="19">
        <v>4.2000000000000003E-2</v>
      </c>
      <c r="X91" s="16">
        <f t="shared" si="7"/>
        <v>-32179</v>
      </c>
      <c r="Y91" s="19">
        <v>-0.22</v>
      </c>
      <c r="Z91" s="16">
        <f t="shared" si="8"/>
        <v>18388</v>
      </c>
    </row>
    <row r="92" spans="14:26" x14ac:dyDescent="0.55000000000000004">
      <c r="U92" s="19">
        <v>0.25</v>
      </c>
      <c r="V92" s="1">
        <f t="shared" si="6"/>
        <v>50567</v>
      </c>
      <c r="W92" s="19">
        <v>-0.03</v>
      </c>
      <c r="X92" s="16">
        <f t="shared" si="7"/>
        <v>-36776</v>
      </c>
      <c r="Y92" s="19">
        <v>-0.2</v>
      </c>
      <c r="Z92" s="16">
        <f t="shared" si="8"/>
        <v>22985</v>
      </c>
    </row>
    <row r="93" spans="14:26" x14ac:dyDescent="0.55000000000000004">
      <c r="U93" s="19">
        <v>0.3</v>
      </c>
      <c r="V93" s="1">
        <f t="shared" si="6"/>
        <v>55164</v>
      </c>
      <c r="W93" s="19">
        <v>-0.112</v>
      </c>
      <c r="X93" s="16">
        <f t="shared" si="7"/>
        <v>-41373</v>
      </c>
      <c r="Y93" s="19">
        <v>-0.15</v>
      </c>
      <c r="Z93" s="16">
        <f t="shared" si="8"/>
        <v>27582</v>
      </c>
    </row>
    <row r="94" spans="14:26" x14ac:dyDescent="0.55000000000000004">
      <c r="U94" s="19">
        <v>0.36</v>
      </c>
      <c r="V94" s="1">
        <f t="shared" si="6"/>
        <v>59761</v>
      </c>
      <c r="W94" s="19">
        <v>-0.24</v>
      </c>
      <c r="X94" s="16">
        <f t="shared" si="7"/>
        <v>-45970</v>
      </c>
      <c r="Y94" s="19">
        <v>-3.1E-2</v>
      </c>
      <c r="Z94" s="16">
        <f t="shared" si="8"/>
        <v>32179</v>
      </c>
    </row>
    <row r="95" spans="14:26" x14ac:dyDescent="0.55000000000000004">
      <c r="U95" s="19">
        <v>0.35</v>
      </c>
      <c r="V95" s="1">
        <f t="shared" si="6"/>
        <v>55164</v>
      </c>
      <c r="W95" s="19">
        <v>-0.31</v>
      </c>
      <c r="X95" s="16">
        <f t="shared" si="7"/>
        <v>-50567</v>
      </c>
      <c r="Y95" s="19">
        <v>0.03</v>
      </c>
      <c r="Z95" s="16">
        <f t="shared" si="8"/>
        <v>36776</v>
      </c>
    </row>
    <row r="96" spans="14:26" x14ac:dyDescent="0.55000000000000004">
      <c r="U96" s="19">
        <v>0.32</v>
      </c>
      <c r="V96" s="1">
        <f t="shared" si="6"/>
        <v>50567</v>
      </c>
      <c r="W96" s="19">
        <v>-0.4</v>
      </c>
      <c r="X96" s="16">
        <f t="shared" si="7"/>
        <v>-55164</v>
      </c>
      <c r="Y96" s="19">
        <v>0.11700000000000001</v>
      </c>
      <c r="Z96" s="16">
        <f t="shared" si="8"/>
        <v>41373</v>
      </c>
    </row>
    <row r="97" spans="21:26" x14ac:dyDescent="0.55000000000000004">
      <c r="U97" s="19">
        <v>0.31</v>
      </c>
      <c r="V97" s="1">
        <f t="shared" si="6"/>
        <v>45970</v>
      </c>
      <c r="W97" s="19">
        <v>-0.49</v>
      </c>
      <c r="X97" s="16">
        <f t="shared" si="7"/>
        <v>-59761</v>
      </c>
      <c r="Y97" s="19">
        <v>0.13</v>
      </c>
      <c r="Z97" s="16">
        <f t="shared" si="8"/>
        <v>45970</v>
      </c>
    </row>
    <row r="98" spans="21:26" x14ac:dyDescent="0.55000000000000004">
      <c r="U98" s="19">
        <v>0.3</v>
      </c>
      <c r="V98" s="1">
        <f t="shared" si="6"/>
        <v>41373</v>
      </c>
      <c r="W98" s="19">
        <v>-0.48</v>
      </c>
      <c r="X98" s="16">
        <f t="shared" si="7"/>
        <v>-55164</v>
      </c>
      <c r="Y98" s="19">
        <v>0.21</v>
      </c>
      <c r="Z98" s="16">
        <f t="shared" si="8"/>
        <v>50567</v>
      </c>
    </row>
    <row r="99" spans="21:26" x14ac:dyDescent="0.55000000000000004">
      <c r="U99" s="19">
        <v>0.3</v>
      </c>
      <c r="V99" s="1">
        <f t="shared" si="6"/>
        <v>36776</v>
      </c>
      <c r="W99" s="19">
        <v>-0.47</v>
      </c>
      <c r="X99" s="16">
        <f t="shared" si="7"/>
        <v>-50567</v>
      </c>
      <c r="Y99" s="19">
        <v>0.3</v>
      </c>
      <c r="Z99" s="16">
        <f t="shared" si="8"/>
        <v>55164</v>
      </c>
    </row>
    <row r="100" spans="21:26" ht="18.5" thickBot="1" x14ac:dyDescent="0.6">
      <c r="U100" s="20">
        <v>0.28999999999999998</v>
      </c>
      <c r="V100" s="17">
        <f t="shared" si="6"/>
        <v>32179</v>
      </c>
      <c r="W100" s="20">
        <v>-0.45</v>
      </c>
      <c r="X100" s="18">
        <f t="shared" si="7"/>
        <v>-45970</v>
      </c>
      <c r="Y100" s="20">
        <v>0.39</v>
      </c>
      <c r="Z100" s="18">
        <f t="shared" si="8"/>
        <v>59761</v>
      </c>
    </row>
    <row r="105" spans="21:26" ht="18.5" thickBot="1" x14ac:dyDescent="0.6"/>
    <row r="106" spans="21:26" ht="18.5" thickBot="1" x14ac:dyDescent="0.6">
      <c r="V106" s="23"/>
      <c r="W106" s="7" t="s">
        <v>9</v>
      </c>
      <c r="X106" s="26" t="s">
        <v>10</v>
      </c>
      <c r="Y106" s="4" t="s">
        <v>11</v>
      </c>
    </row>
    <row r="107" spans="21:26" ht="18.5" thickTop="1" x14ac:dyDescent="0.55000000000000004">
      <c r="V107" s="28" t="s">
        <v>12</v>
      </c>
      <c r="W107" s="29">
        <v>34477</v>
      </c>
      <c r="X107" s="30">
        <v>0.19</v>
      </c>
      <c r="Y107" s="31">
        <v>0.39</v>
      </c>
    </row>
    <row r="108" spans="21:26" ht="18.5" thickBot="1" x14ac:dyDescent="0.6">
      <c r="V108" s="24" t="s">
        <v>13</v>
      </c>
      <c r="W108" s="25">
        <v>-34845</v>
      </c>
      <c r="X108" s="27">
        <v>-0.3</v>
      </c>
      <c r="Y108" s="18">
        <v>-0.39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竹内　優騎</dc:creator>
  <cp:lastModifiedBy>真人 石井</cp:lastModifiedBy>
  <dcterms:created xsi:type="dcterms:W3CDTF">2026-10-14T03:33:53Z</dcterms:created>
  <dcterms:modified xsi:type="dcterms:W3CDTF">2026-10-21T05:52:20Z</dcterms:modified>
</cp:coreProperties>
</file>