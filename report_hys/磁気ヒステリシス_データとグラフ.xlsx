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芯（換算式）" sheetId="1" state="visible" r:id="rId1"/>
    <sheet xmlns:r="http://schemas.openxmlformats.org/officeDocument/2006/relationships" name="アルニコ" sheetId="2" state="visible" r:id="rId2"/>
    <sheet xmlns:r="http://schemas.openxmlformats.org/officeDocument/2006/relationships" name="純鉄" sheetId="3" state="visible" r:id="rId3"/>
    <sheet xmlns:r="http://schemas.openxmlformats.org/officeDocument/2006/relationships" name="グラフ 空芯" sheetId="4" state="visible" r:id="rId4"/>
    <sheet xmlns:r="http://schemas.openxmlformats.org/officeDocument/2006/relationships" name="グラフ アルニコ I-B" sheetId="5" state="visible" r:id="rId5"/>
    <sheet xmlns:r="http://schemas.openxmlformats.org/officeDocument/2006/relationships" name="グラフ アルニコ B-H" sheetId="6" state="visible" r:id="rId6"/>
    <sheet xmlns:r="http://schemas.openxmlformats.org/officeDocument/2006/relationships" name="グラフ 純鉄" sheetId="7" state="visible" r:id="rId7"/>
    <sheet xmlns:r="http://schemas.openxmlformats.org/officeDocument/2006/relationships" name="透磁率曲線" sheetId="8" state="visible" r:id="rId8"/>
    <sheet xmlns:r="http://schemas.openxmlformats.org/officeDocument/2006/relationships" name="平行平板 V-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(ⅰ) N 増加</v>
          </tx>
          <spPr>
            <a:ln xmlns:a="http://schemas.openxmlformats.org/drawingml/2006/main" w="127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xVal>
            <numRef>
              <f>'グラフ 空芯'!$A$3:$A$16</f>
            </numRef>
          </xVal>
          <yVal>
            <numRef>
              <f>'グラフ 空芯'!$B$3:$B$16</f>
            </numRef>
          </yVal>
        </ser>
        <ser>
          <idx val="1"/>
          <order val="1"/>
          <tx>
            <v>(ⅱ) N 減少</v>
          </tx>
          <spPr>
            <a:ln xmlns:a="http://schemas.openxmlformats.org/drawingml/2006/main" w="127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D7D31"/>
              </a:solidFill>
              <a:ln xmlns:a="http://schemas.openxmlformats.org/drawingml/2006/main" w="9525">
                <a:solidFill>
                  <a:srgbClr val="ED7D31"/>
                </a:solidFill>
                <a:prstDash val="solid"/>
              </a:ln>
            </spPr>
          </marker>
          <xVal>
            <numRef>
              <f>'グラフ 空芯'!$D$3:$D$13</f>
            </numRef>
          </xVal>
          <yVal>
            <numRef>
              <f>'グラフ 空芯'!$E$3:$E$13</f>
            </numRef>
          </yVal>
        </ser>
        <ser>
          <idx val="2"/>
          <order val="2"/>
          <tx>
            <v>(ⅲ) S 増加</v>
          </tx>
          <spPr>
            <a:ln xmlns:a="http://schemas.openxmlformats.org/drawingml/2006/main" w="12700">
              <a:solidFill>
                <a:srgbClr val="A5A5A5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A5A5A5"/>
              </a:solidFill>
              <a:ln xmlns:a="http://schemas.openxmlformats.org/drawingml/2006/main" w="9525">
                <a:solidFill>
                  <a:srgbClr val="A5A5A5"/>
                </a:solidFill>
                <a:prstDash val="solid"/>
              </a:ln>
            </spPr>
          </marker>
          <xVal>
            <numRef>
              <f>'グラフ 空芯'!$G$3:$G$13</f>
            </numRef>
          </xVal>
          <yVal>
            <numRef>
              <f>'グラフ 空芯'!$H$3:$H$13</f>
            </numRef>
          </yVal>
        </ser>
        <ser>
          <idx val="3"/>
          <order val="3"/>
          <tx>
            <v>(ⅳ) S 減少</v>
          </tx>
          <spPr>
            <a:ln xmlns:a="http://schemas.openxmlformats.org/drawingml/2006/main" w="12700">
              <a:solidFill>
                <a:srgbClr val="FFC00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FFC000"/>
              </a:solidFill>
              <a:ln xmlns:a="http://schemas.openxmlformats.org/drawingml/2006/main" w="9525">
                <a:solidFill>
                  <a:srgbClr val="FFC000"/>
                </a:solidFill>
                <a:prstDash val="solid"/>
              </a:ln>
            </spPr>
          </marker>
          <xVal>
            <numRef>
              <f>'グラフ 空芯'!$J$3:$J$13</f>
            </numRef>
          </xVal>
          <yVal>
            <numRef>
              <f>'グラフ 空芯'!$K$3:$K$13</f>
            </numRef>
          </yVal>
        </ser>
        <ser>
          <idx val="4"/>
          <order val="4"/>
          <tx>
            <v>(ⅴ) N 再び増加</v>
          </tx>
          <spPr>
            <a:ln xmlns:a="http://schemas.openxmlformats.org/drawingml/2006/main" w="12700">
              <a:solidFill>
                <a:srgbClr val="5B9BD5"/>
              </a:solidFill>
              <a:prstDash val="solid"/>
            </a:ln>
          </spPr>
          <marker>
            <symbol val="x"/>
            <size val="6"/>
            <spPr>
              <a:solidFill xmlns:a="http://schemas.openxmlformats.org/drawingml/2006/main">
                <a:srgbClr val="5B9BD5"/>
              </a:solidFill>
              <a:ln xmlns:a="http://schemas.openxmlformats.org/drawingml/2006/main" w="9525">
                <a:solidFill>
                  <a:srgbClr val="5B9BD5"/>
                </a:solidFill>
                <a:prstDash val="solid"/>
              </a:ln>
            </spPr>
          </marker>
          <xVal>
            <numRef>
              <f>'グラフ 空芯'!$M$3:$M$13</f>
            </numRef>
          </xVal>
          <yVal>
            <numRef>
              <f>'グラフ 空芯'!$N$3:$N$13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励磁電流 I [A]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low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磁束密度 B [T]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low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2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(ⅰ) N 増加</v>
          </tx>
          <spPr>
            <a:ln xmlns:a="http://schemas.openxmlformats.org/drawingml/2006/main" w="127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xVal>
            <numRef>
              <f>'グラフ アルニコ I-B'!$A$3:$A$19</f>
            </numRef>
          </xVal>
          <yVal>
            <numRef>
              <f>'グラフ アルニコ I-B'!$B$3:$B$19</f>
            </numRef>
          </yVal>
        </ser>
        <ser>
          <idx val="1"/>
          <order val="1"/>
          <tx>
            <v>(ⅱ) N 減少</v>
          </tx>
          <spPr>
            <a:ln xmlns:a="http://schemas.openxmlformats.org/drawingml/2006/main" w="127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D7D31"/>
              </a:solidFill>
              <a:ln xmlns:a="http://schemas.openxmlformats.org/drawingml/2006/main" w="9525">
                <a:solidFill>
                  <a:srgbClr val="ED7D31"/>
                </a:solidFill>
                <a:prstDash val="solid"/>
              </a:ln>
            </spPr>
          </marker>
          <xVal>
            <numRef>
              <f>'グラフ アルニコ I-B'!$D$3:$D$16</f>
            </numRef>
          </xVal>
          <yVal>
            <numRef>
              <f>'グラフ アルニコ I-B'!$E$3:$E$16</f>
            </numRef>
          </yVal>
        </ser>
        <ser>
          <idx val="2"/>
          <order val="2"/>
          <tx>
            <v>(ⅲ) S 増加</v>
          </tx>
          <spPr>
            <a:ln xmlns:a="http://schemas.openxmlformats.org/drawingml/2006/main" w="12700">
              <a:solidFill>
                <a:srgbClr val="A5A5A5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A5A5A5"/>
              </a:solidFill>
              <a:ln xmlns:a="http://schemas.openxmlformats.org/drawingml/2006/main" w="9525">
                <a:solidFill>
                  <a:srgbClr val="A5A5A5"/>
                </a:solidFill>
                <a:prstDash val="solid"/>
              </a:ln>
            </spPr>
          </marker>
          <xVal>
            <numRef>
              <f>'グラフ アルニコ I-B'!$G$3:$G$16</f>
            </numRef>
          </xVal>
          <yVal>
            <numRef>
              <f>'グラフ アルニコ I-B'!$H$3:$H$16</f>
            </numRef>
          </yVal>
        </ser>
        <ser>
          <idx val="3"/>
          <order val="3"/>
          <tx>
            <v>(ⅳ) S 減少</v>
          </tx>
          <spPr>
            <a:ln xmlns:a="http://schemas.openxmlformats.org/drawingml/2006/main" w="12700">
              <a:solidFill>
                <a:srgbClr val="FFC00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FFC000"/>
              </a:solidFill>
              <a:ln xmlns:a="http://schemas.openxmlformats.org/drawingml/2006/main" w="9525">
                <a:solidFill>
                  <a:srgbClr val="FFC000"/>
                </a:solidFill>
                <a:prstDash val="solid"/>
              </a:ln>
            </spPr>
          </marker>
          <xVal>
            <numRef>
              <f>'グラフ アルニコ I-B'!$J$3:$J$16</f>
            </numRef>
          </xVal>
          <yVal>
            <numRef>
              <f>'グラフ アルニコ I-B'!$K$3:$K$16</f>
            </numRef>
          </yVal>
        </ser>
        <ser>
          <idx val="4"/>
          <order val="4"/>
          <tx>
            <v>(ⅴ) N 再び増加</v>
          </tx>
          <spPr>
            <a:ln xmlns:a="http://schemas.openxmlformats.org/drawingml/2006/main" w="12700">
              <a:solidFill>
                <a:srgbClr val="5B9BD5"/>
              </a:solidFill>
              <a:prstDash val="solid"/>
            </a:ln>
          </spPr>
          <marker>
            <symbol val="x"/>
            <size val="6"/>
            <spPr>
              <a:solidFill xmlns:a="http://schemas.openxmlformats.org/drawingml/2006/main">
                <a:srgbClr val="5B9BD5"/>
              </a:solidFill>
              <a:ln xmlns:a="http://schemas.openxmlformats.org/drawingml/2006/main" w="9525">
                <a:solidFill>
                  <a:srgbClr val="5B9BD5"/>
                </a:solidFill>
                <a:prstDash val="solid"/>
              </a:ln>
            </spPr>
          </marker>
          <xVal>
            <numRef>
              <f>'グラフ アルニコ I-B'!$M$3:$M$16</f>
            </numRef>
          </xVal>
          <yVal>
            <numRef>
              <f>'グラフ アルニコ I-B'!$N$3:$N$16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励磁電流 I [A]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low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磁束密度 B [T]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low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3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(ⅰ) N 増加</v>
          </tx>
          <spPr>
            <a:ln xmlns:a="http://schemas.openxmlformats.org/drawingml/2006/main" w="127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xVal>
            <numRef>
              <f>'グラフ アルニコ B-H'!$A$3:$A$19</f>
            </numRef>
          </xVal>
          <yVal>
            <numRef>
              <f>'グラフ アルニコ B-H'!$B$3:$B$19</f>
            </numRef>
          </yVal>
        </ser>
        <ser>
          <idx val="1"/>
          <order val="1"/>
          <tx>
            <v>(ⅱ) N 減少</v>
          </tx>
          <spPr>
            <a:ln xmlns:a="http://schemas.openxmlformats.org/drawingml/2006/main" w="127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D7D31"/>
              </a:solidFill>
              <a:ln xmlns:a="http://schemas.openxmlformats.org/drawingml/2006/main" w="9525">
                <a:solidFill>
                  <a:srgbClr val="ED7D31"/>
                </a:solidFill>
                <a:prstDash val="solid"/>
              </a:ln>
            </spPr>
          </marker>
          <xVal>
            <numRef>
              <f>'グラフ アルニコ B-H'!$D$3:$D$16</f>
            </numRef>
          </xVal>
          <yVal>
            <numRef>
              <f>'グラフ アルニコ B-H'!$E$3:$E$16</f>
            </numRef>
          </yVal>
        </ser>
        <ser>
          <idx val="2"/>
          <order val="2"/>
          <tx>
            <v>(ⅲ) S 増加</v>
          </tx>
          <spPr>
            <a:ln xmlns:a="http://schemas.openxmlformats.org/drawingml/2006/main" w="12700">
              <a:solidFill>
                <a:srgbClr val="A5A5A5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A5A5A5"/>
              </a:solidFill>
              <a:ln xmlns:a="http://schemas.openxmlformats.org/drawingml/2006/main" w="9525">
                <a:solidFill>
                  <a:srgbClr val="A5A5A5"/>
                </a:solidFill>
                <a:prstDash val="solid"/>
              </a:ln>
            </spPr>
          </marker>
          <xVal>
            <numRef>
              <f>'グラフ アルニコ B-H'!$G$3:$G$16</f>
            </numRef>
          </xVal>
          <yVal>
            <numRef>
              <f>'グラフ アルニコ B-H'!$H$3:$H$16</f>
            </numRef>
          </yVal>
        </ser>
        <ser>
          <idx val="3"/>
          <order val="3"/>
          <tx>
            <v>(ⅳ) S 減少</v>
          </tx>
          <spPr>
            <a:ln xmlns:a="http://schemas.openxmlformats.org/drawingml/2006/main" w="12700">
              <a:solidFill>
                <a:srgbClr val="FFC00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FFC000"/>
              </a:solidFill>
              <a:ln xmlns:a="http://schemas.openxmlformats.org/drawingml/2006/main" w="9525">
                <a:solidFill>
                  <a:srgbClr val="FFC000"/>
                </a:solidFill>
                <a:prstDash val="solid"/>
              </a:ln>
            </spPr>
          </marker>
          <xVal>
            <numRef>
              <f>'グラフ アルニコ B-H'!$J$3:$J$16</f>
            </numRef>
          </xVal>
          <yVal>
            <numRef>
              <f>'グラフ アルニコ B-H'!$K$3:$K$16</f>
            </numRef>
          </yVal>
        </ser>
        <ser>
          <idx val="4"/>
          <order val="4"/>
          <tx>
            <v>(ⅴ) N 再び増加</v>
          </tx>
          <spPr>
            <a:ln xmlns:a="http://schemas.openxmlformats.org/drawingml/2006/main" w="12700">
              <a:solidFill>
                <a:srgbClr val="5B9BD5"/>
              </a:solidFill>
              <a:prstDash val="solid"/>
            </a:ln>
          </spPr>
          <marker>
            <symbol val="x"/>
            <size val="6"/>
            <spPr>
              <a:solidFill xmlns:a="http://schemas.openxmlformats.org/drawingml/2006/main">
                <a:srgbClr val="5B9BD5"/>
              </a:solidFill>
              <a:ln xmlns:a="http://schemas.openxmlformats.org/drawingml/2006/main" w="9525">
                <a:solidFill>
                  <a:srgbClr val="5B9BD5"/>
                </a:solidFill>
                <a:prstDash val="solid"/>
              </a:ln>
            </spPr>
          </marker>
          <xVal>
            <numRef>
              <f>'グラフ アルニコ B-H'!$M$3:$M$16</f>
            </numRef>
          </xVal>
          <yVal>
            <numRef>
              <f>'グラフ アルニコ B-H'!$N$3:$N$16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磁界 H [A/m]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low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磁束密度 B [T]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low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4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(ⅰ) N 増加</v>
          </tx>
          <spPr>
            <a:ln xmlns:a="http://schemas.openxmlformats.org/drawingml/2006/main" w="127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xVal>
            <numRef>
              <f>'グラフ 純鉄'!$A$3:$A$16</f>
            </numRef>
          </xVal>
          <yVal>
            <numRef>
              <f>'グラフ 純鉄'!$B$3:$B$16</f>
            </numRef>
          </yVal>
        </ser>
        <ser>
          <idx val="1"/>
          <order val="1"/>
          <tx>
            <v>(ⅱ) N 減少</v>
          </tx>
          <spPr>
            <a:ln xmlns:a="http://schemas.openxmlformats.org/drawingml/2006/main" w="127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D7D31"/>
              </a:solidFill>
              <a:ln xmlns:a="http://schemas.openxmlformats.org/drawingml/2006/main" w="9525">
                <a:solidFill>
                  <a:srgbClr val="ED7D31"/>
                </a:solidFill>
                <a:prstDash val="solid"/>
              </a:ln>
            </spPr>
          </marker>
          <xVal>
            <numRef>
              <f>'グラフ 純鉄'!$D$3:$D$13</f>
            </numRef>
          </xVal>
          <yVal>
            <numRef>
              <f>'グラフ 純鉄'!$E$3:$E$13</f>
            </numRef>
          </yVal>
        </ser>
        <ser>
          <idx val="2"/>
          <order val="2"/>
          <tx>
            <v>(ⅲ) S 増加</v>
          </tx>
          <spPr>
            <a:ln xmlns:a="http://schemas.openxmlformats.org/drawingml/2006/main" w="12700">
              <a:solidFill>
                <a:srgbClr val="A5A5A5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A5A5A5"/>
              </a:solidFill>
              <a:ln xmlns:a="http://schemas.openxmlformats.org/drawingml/2006/main" w="9525">
                <a:solidFill>
                  <a:srgbClr val="A5A5A5"/>
                </a:solidFill>
                <a:prstDash val="solid"/>
              </a:ln>
            </spPr>
          </marker>
          <xVal>
            <numRef>
              <f>'グラフ 純鉄'!$G$3:$G$13</f>
            </numRef>
          </xVal>
          <yVal>
            <numRef>
              <f>'グラフ 純鉄'!$H$3:$H$13</f>
            </numRef>
          </yVal>
        </ser>
        <ser>
          <idx val="3"/>
          <order val="3"/>
          <tx>
            <v>(ⅳ) S 減少</v>
          </tx>
          <spPr>
            <a:ln xmlns:a="http://schemas.openxmlformats.org/drawingml/2006/main" w="12700">
              <a:solidFill>
                <a:srgbClr val="FFC00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FFC000"/>
              </a:solidFill>
              <a:ln xmlns:a="http://schemas.openxmlformats.org/drawingml/2006/main" w="9525">
                <a:solidFill>
                  <a:srgbClr val="FFC000"/>
                </a:solidFill>
                <a:prstDash val="solid"/>
              </a:ln>
            </spPr>
          </marker>
          <xVal>
            <numRef>
              <f>'グラフ 純鉄'!$J$3:$J$13</f>
            </numRef>
          </xVal>
          <yVal>
            <numRef>
              <f>'グラフ 純鉄'!$K$3:$K$13</f>
            </numRef>
          </yVal>
        </ser>
        <ser>
          <idx val="4"/>
          <order val="4"/>
          <tx>
            <v>(ⅴ) N 再び増加</v>
          </tx>
          <spPr>
            <a:ln xmlns:a="http://schemas.openxmlformats.org/drawingml/2006/main" w="12700">
              <a:solidFill>
                <a:srgbClr val="5B9BD5"/>
              </a:solidFill>
              <a:prstDash val="solid"/>
            </a:ln>
          </spPr>
          <marker>
            <symbol val="x"/>
            <size val="6"/>
            <spPr>
              <a:solidFill xmlns:a="http://schemas.openxmlformats.org/drawingml/2006/main">
                <a:srgbClr val="5B9BD5"/>
              </a:solidFill>
              <a:ln xmlns:a="http://schemas.openxmlformats.org/drawingml/2006/main" w="9525">
                <a:solidFill>
                  <a:srgbClr val="5B9BD5"/>
                </a:solidFill>
                <a:prstDash val="solid"/>
              </a:ln>
            </spPr>
          </marker>
          <xVal>
            <numRef>
              <f>'グラフ 純鉄'!$M$3:$M$13</f>
            </numRef>
          </xVal>
          <yVal>
            <numRef>
              <f>'グラフ 純鉄'!$N$3:$N$13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励磁電流 I [A]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low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磁束密度 B [T]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low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5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μ＝B/H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trendline>
            <trendlineType val="poly"/>
            <order val="4"/>
            <dispRSqr val="0"/>
            <dispEq val="1"/>
          </trendline>
          <xVal>
            <numRef>
              <f>'透磁率曲線'!$A$2:$A$17</f>
            </numRef>
          </xVal>
          <yVal>
            <numRef>
              <f>'透磁率曲線'!$B$2:$B$17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磁界 H [A/m]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透磁率 μ [H/m]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電流 I [A]</t>
        </is>
      </c>
      <c r="B1" s="1" t="inlineStr">
        <is>
          <t>磁束密度 B0 [T]</t>
        </is>
      </c>
      <c r="C1" s="1" t="inlineStr"/>
      <c r="D1" s="1" t="inlineStr">
        <is>
          <t>傾き k [T/A]（原点を通る近似）</t>
        </is>
      </c>
      <c r="E1" s="1" t="inlineStr"/>
      <c r="F1" s="1" t="inlineStr">
        <is>
          <t>μ0 [H/m]</t>
        </is>
      </c>
      <c r="G1" s="1" t="inlineStr">
        <is>
          <t>k/μ0 [A/m/A]</t>
        </is>
      </c>
    </row>
    <row r="2">
      <c r="A2" t="n">
        <v>0</v>
      </c>
      <c r="B2" t="n">
        <v>0</v>
      </c>
      <c r="D2" t="inlineStr">
        <is>
          <t>← k</t>
        </is>
      </c>
      <c r="E2">
        <f>SUMPRODUCT(A2:A55,B2:B55)/SUMSQ(A2:A55)</f>
        <v/>
      </c>
      <c r="F2">
        <f>4*PI()*1E-7</f>
        <v/>
      </c>
      <c r="G2">
        <f>E2/F2</f>
        <v/>
      </c>
    </row>
    <row r="3">
      <c r="A3" t="n">
        <v>0.2</v>
      </c>
      <c r="B3" t="n">
        <v>0.002</v>
      </c>
    </row>
    <row r="4">
      <c r="A4" t="n">
        <v>0.4</v>
      </c>
      <c r="B4" t="n">
        <v>0.005</v>
      </c>
    </row>
    <row r="5">
      <c r="A5" t="n">
        <v>0.6</v>
      </c>
      <c r="B5" t="n">
        <v>0.008</v>
      </c>
    </row>
    <row r="6">
      <c r="A6" t="n">
        <v>0.8</v>
      </c>
      <c r="B6" t="n">
        <v>0.008999999999999999</v>
      </c>
    </row>
    <row r="7">
      <c r="A7" t="n">
        <v>1</v>
      </c>
      <c r="B7" t="n">
        <v>0.012</v>
      </c>
    </row>
    <row r="8">
      <c r="A8" t="n">
        <v>1.5</v>
      </c>
      <c r="B8" t="n">
        <v>0.019</v>
      </c>
    </row>
    <row r="9">
      <c r="A9" t="n">
        <v>2</v>
      </c>
      <c r="B9" t="n">
        <v>0.022</v>
      </c>
    </row>
    <row r="10">
      <c r="A10" t="n">
        <v>2.5</v>
      </c>
      <c r="B10" t="n">
        <v>0.029</v>
      </c>
    </row>
    <row r="11">
      <c r="A11" t="n">
        <v>3</v>
      </c>
      <c r="B11" t="n">
        <v>0.033</v>
      </c>
    </row>
    <row r="12">
      <c r="A12" t="n">
        <v>3.5</v>
      </c>
      <c r="B12" t="n">
        <v>0.04</v>
      </c>
    </row>
    <row r="13">
      <c r="A13" t="n">
        <v>4</v>
      </c>
      <c r="B13" t="n">
        <v>0.045</v>
      </c>
    </row>
    <row r="14">
      <c r="A14" t="n">
        <v>4.5</v>
      </c>
      <c r="B14" t="n">
        <v>0.051</v>
      </c>
    </row>
    <row r="15">
      <c r="A15" t="n">
        <v>5</v>
      </c>
      <c r="B15" t="n">
        <v>0.055</v>
      </c>
    </row>
    <row r="16">
      <c r="A16" t="n">
        <v>4.5</v>
      </c>
      <c r="B16" t="n">
        <v>0.051</v>
      </c>
    </row>
    <row r="17">
      <c r="A17" t="n">
        <v>4</v>
      </c>
      <c r="B17" t="n">
        <v>0.048</v>
      </c>
    </row>
    <row r="18">
      <c r="A18" t="n">
        <v>3.5</v>
      </c>
      <c r="B18" t="n">
        <v>0.041</v>
      </c>
    </row>
    <row r="19">
      <c r="A19" t="n">
        <v>3</v>
      </c>
      <c r="B19" t="n">
        <v>0.036</v>
      </c>
    </row>
    <row r="20">
      <c r="A20" t="n">
        <v>2.5</v>
      </c>
      <c r="B20" t="n">
        <v>0.039</v>
      </c>
    </row>
    <row r="21">
      <c r="A21" t="n">
        <v>2</v>
      </c>
      <c r="B21" t="n">
        <v>0.024</v>
      </c>
    </row>
    <row r="22">
      <c r="A22" t="n">
        <v>1.5</v>
      </c>
      <c r="B22" t="n">
        <v>0.018</v>
      </c>
    </row>
    <row r="23">
      <c r="A23" t="n">
        <v>1</v>
      </c>
      <c r="B23" t="n">
        <v>0.013</v>
      </c>
    </row>
    <row r="24">
      <c r="A24" t="n">
        <v>0.5</v>
      </c>
      <c r="B24" t="n">
        <v>0.005</v>
      </c>
    </row>
    <row r="25">
      <c r="A25" t="n">
        <v>0</v>
      </c>
      <c r="B25" t="n">
        <v>0.001</v>
      </c>
    </row>
    <row r="26">
      <c r="A26" t="n">
        <v>-0.5</v>
      </c>
      <c r="B26" t="n">
        <v>-0.003</v>
      </c>
    </row>
    <row r="27">
      <c r="A27" t="n">
        <v>-1</v>
      </c>
      <c r="B27" t="n">
        <v>-0.011</v>
      </c>
    </row>
    <row r="28">
      <c r="A28" t="n">
        <v>-1.5</v>
      </c>
      <c r="B28" t="n">
        <v>-0.015</v>
      </c>
    </row>
    <row r="29">
      <c r="A29" t="n">
        <v>-2</v>
      </c>
      <c r="B29" t="n">
        <v>-0.021</v>
      </c>
    </row>
    <row r="30">
      <c r="A30" t="n">
        <v>-2.5</v>
      </c>
      <c r="B30" t="n">
        <v>-0.028</v>
      </c>
    </row>
    <row r="31">
      <c r="A31" t="n">
        <v>-3</v>
      </c>
      <c r="B31" t="n">
        <v>-0.032</v>
      </c>
    </row>
    <row r="32">
      <c r="A32" t="n">
        <v>-3.5</v>
      </c>
      <c r="B32" t="n">
        <v>-0.039</v>
      </c>
    </row>
    <row r="33">
      <c r="A33" t="n">
        <v>-4</v>
      </c>
      <c r="B33" t="n">
        <v>-0.042</v>
      </c>
    </row>
    <row r="34">
      <c r="A34" t="n">
        <v>-4.5</v>
      </c>
      <c r="B34" t="n">
        <v>-0.049</v>
      </c>
    </row>
    <row r="35">
      <c r="A35" t="n">
        <v>-5</v>
      </c>
      <c r="B35" t="n">
        <v>-0.052</v>
      </c>
    </row>
    <row r="36">
      <c r="A36" t="n">
        <v>-4.5</v>
      </c>
      <c r="B36" t="n">
        <v>-0.049</v>
      </c>
    </row>
    <row r="37">
      <c r="A37" t="n">
        <v>-4</v>
      </c>
      <c r="B37" t="n">
        <v>-0.045</v>
      </c>
    </row>
    <row r="38">
      <c r="A38" t="n">
        <v>-3.5</v>
      </c>
      <c r="B38" t="n">
        <v>-0.039</v>
      </c>
    </row>
    <row r="39">
      <c r="A39" t="n">
        <v>-3</v>
      </c>
      <c r="B39" t="n">
        <v>-0.032</v>
      </c>
    </row>
    <row r="40">
      <c r="A40" t="n">
        <v>-2.5</v>
      </c>
      <c r="B40" t="n">
        <v>-0.028</v>
      </c>
    </row>
    <row r="41">
      <c r="A41" t="n">
        <v>-2</v>
      </c>
      <c r="B41" t="n">
        <v>-0.021</v>
      </c>
    </row>
    <row r="42">
      <c r="A42" t="n">
        <v>-1.5</v>
      </c>
      <c r="B42" t="n">
        <v>-0.015</v>
      </c>
    </row>
    <row r="43">
      <c r="A43" t="n">
        <v>-1</v>
      </c>
      <c r="B43" t="n">
        <v>-0.008999999999999999</v>
      </c>
    </row>
    <row r="44">
      <c r="A44" t="n">
        <v>-0.5</v>
      </c>
      <c r="B44" t="n">
        <v>-0.004</v>
      </c>
    </row>
    <row r="45">
      <c r="A45" t="n">
        <v>0</v>
      </c>
      <c r="B45" t="n">
        <v>0.001</v>
      </c>
    </row>
    <row r="46">
      <c r="A46" t="n">
        <v>0.5</v>
      </c>
      <c r="B46" t="n">
        <v>0.005</v>
      </c>
    </row>
    <row r="47">
      <c r="A47" t="n">
        <v>1</v>
      </c>
      <c r="B47" t="n">
        <v>0.012</v>
      </c>
    </row>
    <row r="48">
      <c r="A48" t="n">
        <v>1.5</v>
      </c>
      <c r="B48" t="n">
        <v>0.019</v>
      </c>
    </row>
    <row r="49">
      <c r="A49" t="n">
        <v>2</v>
      </c>
      <c r="B49" t="n">
        <v>0.022</v>
      </c>
    </row>
    <row r="50">
      <c r="A50" t="n">
        <v>2.5</v>
      </c>
      <c r="B50" t="n">
        <v>0.029</v>
      </c>
    </row>
    <row r="51">
      <c r="A51" t="n">
        <v>3</v>
      </c>
      <c r="B51" t="n">
        <v>0.032</v>
      </c>
    </row>
    <row r="52">
      <c r="A52" t="n">
        <v>3.5</v>
      </c>
      <c r="B52" t="n">
        <v>0.04</v>
      </c>
    </row>
    <row r="53">
      <c r="A53" t="n">
        <v>4</v>
      </c>
      <c r="B53" t="n">
        <v>0.045</v>
      </c>
    </row>
    <row r="54">
      <c r="A54" t="n">
        <v>4.5</v>
      </c>
      <c r="B54" t="n">
        <v>0.049</v>
      </c>
    </row>
    <row r="55">
      <c r="A55" t="n">
        <v>5</v>
      </c>
      <c r="B55" t="n">
        <v>0.055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電流 I [A]</t>
        </is>
      </c>
      <c r="B1" s="1" t="inlineStr">
        <is>
          <t>磁束密度 B [T]</t>
        </is>
      </c>
      <c r="C1" s="1" t="inlineStr">
        <is>
          <t>磁界 H [A/m]</t>
        </is>
      </c>
      <c r="D1" s="1" t="inlineStr">
        <is>
          <t>透磁率 μ=B/H [H/m]</t>
        </is>
      </c>
    </row>
    <row r="2">
      <c r="A2" t="n">
        <v>0</v>
      </c>
      <c r="B2" t="n">
        <v>0</v>
      </c>
      <c r="C2">
        <f>A2*'空芯（換算式）'!$G$2</f>
        <v/>
      </c>
      <c r="D2">
        <f>IF(C2=0,"",IF(B2="","",B2/C2))</f>
        <v/>
      </c>
    </row>
    <row r="3">
      <c r="A3" t="n">
        <v>0.2</v>
      </c>
      <c r="B3" t="n">
        <v>0.005</v>
      </c>
      <c r="C3">
        <f>A3*'空芯（換算式）'!$G$2</f>
        <v/>
      </c>
      <c r="D3">
        <f>IF(C3=0,"",IF(B3="","",B3/C3))</f>
        <v/>
      </c>
    </row>
    <row r="4">
      <c r="A4" t="n">
        <v>0.4</v>
      </c>
      <c r="B4" t="n">
        <v>0.011</v>
      </c>
      <c r="C4">
        <f>A4*'空芯（換算式）'!$G$2</f>
        <v/>
      </c>
      <c r="D4">
        <f>IF(C4=0,"",IF(B4="","",B4/C4))</f>
        <v/>
      </c>
    </row>
    <row r="5">
      <c r="A5" t="n">
        <v>0.6</v>
      </c>
      <c r="B5" t="n">
        <v>0.018</v>
      </c>
      <c r="C5">
        <f>A5*'空芯（換算式）'!$G$2</f>
        <v/>
      </c>
      <c r="D5">
        <f>IF(C5=0,"",IF(B5="","",B5/C5))</f>
        <v/>
      </c>
    </row>
    <row r="6">
      <c r="A6" t="n">
        <v>0.8</v>
      </c>
      <c r="B6" t="n">
        <v>0.023</v>
      </c>
      <c r="C6">
        <f>A6*'空芯（換算式）'!$G$2</f>
        <v/>
      </c>
      <c r="D6">
        <f>IF(C6=0,"",IF(B6="","",B6/C6))</f>
        <v/>
      </c>
    </row>
    <row r="7">
      <c r="A7" t="n">
        <v>1</v>
      </c>
      <c r="B7" t="n">
        <v>0.031</v>
      </c>
      <c r="C7">
        <f>A7*'空芯（換算式）'!$G$2</f>
        <v/>
      </c>
      <c r="D7">
        <f>IF(C7=0,"",IF(B7="","",B7/C7))</f>
        <v/>
      </c>
    </row>
    <row r="8">
      <c r="A8" t="n">
        <v>1.5</v>
      </c>
      <c r="B8" t="n">
        <v>0.047</v>
      </c>
      <c r="C8">
        <f>A8*'空芯（換算式）'!$G$2</f>
        <v/>
      </c>
      <c r="D8">
        <f>IF(C8=0,"",IF(B8="","",B8/C8))</f>
        <v/>
      </c>
    </row>
    <row r="9">
      <c r="A9" t="n">
        <v>2</v>
      </c>
      <c r="B9" t="n">
        <v>0.065</v>
      </c>
      <c r="C9">
        <f>A9*'空芯（換算式）'!$G$2</f>
        <v/>
      </c>
      <c r="D9">
        <f>IF(C9=0,"",IF(B9="","",B9/C9))</f>
        <v/>
      </c>
    </row>
    <row r="10">
      <c r="A10" t="n">
        <v>2.5</v>
      </c>
      <c r="B10" t="n">
        <v>0.082</v>
      </c>
      <c r="C10">
        <f>A10*'空芯（換算式）'!$G$2</f>
        <v/>
      </c>
      <c r="D10">
        <f>IF(C10=0,"",IF(B10="","",B10/C10))</f>
        <v/>
      </c>
    </row>
    <row r="11">
      <c r="A11" t="n">
        <v>3</v>
      </c>
      <c r="B11" t="n">
        <v>0.092</v>
      </c>
      <c r="C11">
        <f>A11*'空芯（換算式）'!$G$2</f>
        <v/>
      </c>
      <c r="D11">
        <f>IF(C11=0,"",IF(B11="","",B11/C11))</f>
        <v/>
      </c>
    </row>
    <row r="12">
      <c r="A12" t="n">
        <v>3.5</v>
      </c>
      <c r="B12" t="n">
        <v>0.1</v>
      </c>
      <c r="C12">
        <f>A12*'空芯（換算式）'!$G$2</f>
        <v/>
      </c>
      <c r="D12">
        <f>IF(C12=0,"",IF(B12="","",B12/C12))</f>
        <v/>
      </c>
    </row>
    <row r="13">
      <c r="A13" t="n">
        <v>4</v>
      </c>
      <c r="B13" t="n">
        <v>0.11</v>
      </c>
      <c r="C13">
        <f>A13*'空芯（換算式）'!$G$2</f>
        <v/>
      </c>
      <c r="D13">
        <f>IF(C13=0,"",IF(B13="","",B13/C13))</f>
        <v/>
      </c>
    </row>
    <row r="14">
      <c r="A14" t="n">
        <v>4.5</v>
      </c>
      <c r="B14" t="n">
        <v>0.16</v>
      </c>
      <c r="C14">
        <f>A14*'空芯（換算式）'!$G$2</f>
        <v/>
      </c>
      <c r="D14">
        <f>IF(C14=0,"",IF(B14="","",B14/C14))</f>
        <v/>
      </c>
    </row>
    <row r="15">
      <c r="A15" t="n">
        <v>5</v>
      </c>
      <c r="B15" t="n">
        <v>0.21</v>
      </c>
      <c r="C15">
        <f>A15*'空芯（換算式）'!$G$2</f>
        <v/>
      </c>
      <c r="D15">
        <f>IF(C15=0,"",IF(B15="","",B15/C15))</f>
        <v/>
      </c>
    </row>
    <row r="16">
      <c r="A16" t="n">
        <v>5.5</v>
      </c>
      <c r="B16" t="n">
        <v>0.28</v>
      </c>
      <c r="C16">
        <f>A16*'空芯（換算式）'!$G$2</f>
        <v/>
      </c>
      <c r="D16">
        <f>IF(C16=0,"",IF(B16="","",B16/C16))</f>
        <v/>
      </c>
    </row>
    <row r="17">
      <c r="A17" t="n">
        <v>6</v>
      </c>
      <c r="B17" t="n">
        <v>0.38</v>
      </c>
      <c r="C17">
        <f>A17*'空芯（換算式）'!$G$2</f>
        <v/>
      </c>
      <c r="D17">
        <f>IF(C17=0,"",IF(B17="","",B17/C17))</f>
        <v/>
      </c>
    </row>
    <row r="18">
      <c r="A18" t="n">
        <v>6.5</v>
      </c>
      <c r="B18" t="n">
        <v>0.48</v>
      </c>
      <c r="C18">
        <f>A18*'空芯（換算式）'!$G$2</f>
        <v/>
      </c>
      <c r="D18">
        <f>IF(C18=0,"",IF(B18="","",B18/C18))</f>
        <v/>
      </c>
    </row>
    <row r="19">
      <c r="A19" t="n">
        <v>6</v>
      </c>
      <c r="B19" t="n">
        <v>0.48</v>
      </c>
      <c r="C19">
        <f>A19*'空芯（換算式）'!$G$2</f>
        <v/>
      </c>
      <c r="D19">
        <f>IF(C19=0,"",IF(B19="","",B19/C19))</f>
        <v/>
      </c>
    </row>
    <row r="20">
      <c r="A20" t="n">
        <v>5.5</v>
      </c>
      <c r="B20" t="n">
        <v>0.45</v>
      </c>
      <c r="C20">
        <f>A20*'空芯（換算式）'!$G$2</f>
        <v/>
      </c>
      <c r="D20">
        <f>IF(C20=0,"",IF(B20="","",B20/C20))</f>
        <v/>
      </c>
    </row>
    <row r="21">
      <c r="A21" t="n">
        <v>5</v>
      </c>
      <c r="B21" t="n">
        <v>0.42</v>
      </c>
      <c r="C21">
        <f>A21*'空芯（換算式）'!$G$2</f>
        <v/>
      </c>
      <c r="D21">
        <f>IF(C21=0,"",IF(B21="","",B21/C21))</f>
        <v/>
      </c>
    </row>
    <row r="22">
      <c r="A22" t="n">
        <v>4.5</v>
      </c>
      <c r="B22" t="n">
        <v>0.4</v>
      </c>
      <c r="C22">
        <f>A22*'空芯（換算式）'!$G$2</f>
        <v/>
      </c>
      <c r="D22">
        <f>IF(C22=0,"",IF(B22="","",B22/C22))</f>
        <v/>
      </c>
    </row>
    <row r="23">
      <c r="A23" t="n">
        <v>4</v>
      </c>
      <c r="B23" t="n">
        <v>0.39</v>
      </c>
      <c r="C23">
        <f>A23*'空芯（換算式）'!$G$2</f>
        <v/>
      </c>
      <c r="D23">
        <f>IF(C23=0,"",IF(B23="","",B23/C23))</f>
        <v/>
      </c>
    </row>
    <row r="24">
      <c r="A24" t="n">
        <v>3.5</v>
      </c>
      <c r="B24" t="n">
        <v>0.38</v>
      </c>
      <c r="C24">
        <f>A24*'空芯（換算式）'!$G$2</f>
        <v/>
      </c>
      <c r="D24">
        <f>IF(C24=0,"",IF(B24="","",B24/C24))</f>
        <v/>
      </c>
    </row>
    <row r="25">
      <c r="A25" t="n">
        <v>3</v>
      </c>
      <c r="B25" t="n">
        <v>0.38</v>
      </c>
      <c r="C25">
        <f>A25*'空芯（換算式）'!$G$2</f>
        <v/>
      </c>
      <c r="D25">
        <f>IF(C25=0,"",IF(B25="","",B25/C25))</f>
        <v/>
      </c>
    </row>
    <row r="26">
      <c r="A26" t="n">
        <v>2.5</v>
      </c>
      <c r="B26" t="n">
        <v>0.37</v>
      </c>
      <c r="C26">
        <f>A26*'空芯（換算式）'!$G$2</f>
        <v/>
      </c>
      <c r="D26">
        <f>IF(C26=0,"",IF(B26="","",B26/C26))</f>
        <v/>
      </c>
    </row>
    <row r="27">
      <c r="A27" t="n">
        <v>2</v>
      </c>
      <c r="B27" t="n">
        <v>0.36</v>
      </c>
      <c r="C27">
        <f>A27*'空芯（換算式）'!$G$2</f>
        <v/>
      </c>
      <c r="D27">
        <f>IF(C27=0,"",IF(B27="","",B27/C27))</f>
        <v/>
      </c>
    </row>
    <row r="28">
      <c r="A28" t="n">
        <v>1.5</v>
      </c>
      <c r="B28" t="n">
        <v>0.34</v>
      </c>
      <c r="C28">
        <f>A28*'空芯（換算式）'!$G$2</f>
        <v/>
      </c>
      <c r="D28">
        <f>IF(C28=0,"",IF(B28="","",B28/C28))</f>
        <v/>
      </c>
    </row>
    <row r="29">
      <c r="A29" t="n">
        <v>1</v>
      </c>
      <c r="B29" t="n">
        <v>0.31</v>
      </c>
      <c r="C29">
        <f>A29*'空芯（換算式）'!$G$2</f>
        <v/>
      </c>
      <c r="D29">
        <f>IF(C29=0,"",IF(B29="","",B29/C29))</f>
        <v/>
      </c>
    </row>
    <row r="30">
      <c r="A30" t="n">
        <v>0.5</v>
      </c>
      <c r="B30" t="n">
        <v>0.3</v>
      </c>
      <c r="C30">
        <f>A30*'空芯（換算式）'!$G$2</f>
        <v/>
      </c>
      <c r="D30">
        <f>IF(C30=0,"",IF(B30="","",B30/C30))</f>
        <v/>
      </c>
    </row>
    <row r="31">
      <c r="A31" t="n">
        <v>0</v>
      </c>
      <c r="B31" t="n">
        <v>0.29</v>
      </c>
      <c r="C31">
        <f>A31*'空芯（換算式）'!$G$2</f>
        <v/>
      </c>
      <c r="D31">
        <f>IF(C31=0,"",IF(B31="","",B31/C31))</f>
        <v/>
      </c>
    </row>
    <row r="32">
      <c r="A32" t="n">
        <v>-0.5</v>
      </c>
      <c r="B32" t="n">
        <v>0.28</v>
      </c>
      <c r="C32">
        <f>A32*'空芯（換算式）'!$G$2</f>
        <v/>
      </c>
      <c r="D32">
        <f>IF(C32=0,"",IF(B32="","",B32/C32))</f>
        <v/>
      </c>
    </row>
    <row r="33">
      <c r="A33" t="n">
        <v>-1</v>
      </c>
      <c r="B33" t="n">
        <v>0.24</v>
      </c>
      <c r="C33">
        <f>A33*'空芯（換算式）'!$G$2</f>
        <v/>
      </c>
      <c r="D33">
        <f>IF(C33=0,"",IF(B33="","",B33/C33))</f>
        <v/>
      </c>
    </row>
    <row r="34">
      <c r="A34" t="n">
        <v>-1.5</v>
      </c>
      <c r="B34" t="n">
        <v>0.21</v>
      </c>
      <c r="C34">
        <f>A34*'空芯（換算式）'!$G$2</f>
        <v/>
      </c>
      <c r="D34">
        <f>IF(C34=0,"",IF(B34="","",B34/C34))</f>
        <v/>
      </c>
    </row>
    <row r="35">
      <c r="A35" t="n">
        <v>-2</v>
      </c>
      <c r="B35" t="n">
        <v>0.2</v>
      </c>
      <c r="C35">
        <f>A35*'空芯（換算式）'!$G$2</f>
        <v/>
      </c>
      <c r="D35">
        <f>IF(C35=0,"",IF(B35="","",B35/C35))</f>
        <v/>
      </c>
    </row>
    <row r="36">
      <c r="A36" t="n">
        <v>-2.5</v>
      </c>
      <c r="B36" t="n">
        <v>0.18</v>
      </c>
      <c r="C36">
        <f>A36*'空芯（換算式）'!$G$2</f>
        <v/>
      </c>
      <c r="D36">
        <f>IF(C36=0,"",IF(B36="","",B36/C36))</f>
        <v/>
      </c>
    </row>
    <row r="37">
      <c r="A37" t="n">
        <v>-3</v>
      </c>
      <c r="B37" t="n">
        <v>0.11</v>
      </c>
      <c r="C37">
        <f>A37*'空芯（換算式）'!$G$2</f>
        <v/>
      </c>
      <c r="D37">
        <f>IF(C37=0,"",IF(B37="","",B37/C37))</f>
        <v/>
      </c>
    </row>
    <row r="38">
      <c r="A38" t="n">
        <v>-3.5</v>
      </c>
      <c r="B38" t="n">
        <v>0.091</v>
      </c>
      <c r="C38">
        <f>A38*'空芯（換算式）'!$G$2</f>
        <v/>
      </c>
      <c r="D38">
        <f>IF(C38=0,"",IF(B38="","",B38/C38))</f>
        <v/>
      </c>
    </row>
    <row r="39">
      <c r="A39" t="n">
        <v>-4</v>
      </c>
      <c r="B39" t="n">
        <v>0.002</v>
      </c>
      <c r="C39">
        <f>A39*'空芯（換算式）'!$G$2</f>
        <v/>
      </c>
      <c r="D39">
        <f>IF(C39=0,"",IF(B39="","",B39/C39))</f>
        <v/>
      </c>
    </row>
    <row r="40">
      <c r="A40" t="n">
        <v>-4.5</v>
      </c>
      <c r="B40" t="n">
        <v>-0.07099999999999999</v>
      </c>
      <c r="C40">
        <f>A40*'空芯（換算式）'!$G$2</f>
        <v/>
      </c>
      <c r="D40">
        <f>IF(C40=0,"",IF(B40="","",B40/C40))</f>
        <v/>
      </c>
    </row>
    <row r="41">
      <c r="A41" t="n">
        <v>-5</v>
      </c>
      <c r="B41" t="n">
        <v>-0.21</v>
      </c>
      <c r="C41">
        <f>A41*'空芯（換算式）'!$G$2</f>
        <v/>
      </c>
      <c r="D41">
        <f>IF(C41=0,"",IF(B41="","",B41/C41))</f>
        <v/>
      </c>
    </row>
    <row r="42">
      <c r="A42" t="n">
        <v>-5.5</v>
      </c>
      <c r="B42" t="n">
        <v>-0.31</v>
      </c>
      <c r="C42">
        <f>A42*'空芯（換算式）'!$G$2</f>
        <v/>
      </c>
      <c r="D42">
        <f>IF(C42=0,"",IF(B42="","",B42/C42))</f>
        <v/>
      </c>
    </row>
    <row r="43">
      <c r="A43" t="n">
        <v>-6</v>
      </c>
      <c r="B43" t="n">
        <v>-0.42</v>
      </c>
      <c r="C43">
        <f>A43*'空芯（換算式）'!$G$2</f>
        <v/>
      </c>
      <c r="D43">
        <f>IF(C43=0,"",IF(B43="","",B43/C43))</f>
        <v/>
      </c>
    </row>
    <row r="44">
      <c r="A44" t="n">
        <v>-6.5</v>
      </c>
      <c r="B44" t="n">
        <v>-0.51</v>
      </c>
      <c r="C44">
        <f>A44*'空芯（換算式）'!$G$2</f>
        <v/>
      </c>
      <c r="D44">
        <f>IF(C44=0,"",IF(B44="","",B44/C44))</f>
        <v/>
      </c>
    </row>
    <row r="45">
      <c r="A45" t="n">
        <v>-6</v>
      </c>
      <c r="B45" t="n">
        <v>-0.5</v>
      </c>
      <c r="C45">
        <f>A45*'空芯（換算式）'!$G$2</f>
        <v/>
      </c>
      <c r="D45">
        <f>IF(C45=0,"",IF(B45="","",B45/C45))</f>
        <v/>
      </c>
    </row>
    <row r="46">
      <c r="A46" t="n">
        <v>-5.5</v>
      </c>
      <c r="B46" t="n">
        <v>-0.49</v>
      </c>
      <c r="C46">
        <f>A46*'空芯（換算式）'!$G$2</f>
        <v/>
      </c>
      <c r="D46">
        <f>IF(C46=0,"",IF(B46="","",B46/C46))</f>
        <v/>
      </c>
    </row>
    <row r="47">
      <c r="A47" t="n">
        <v>-5</v>
      </c>
      <c r="B47" t="n">
        <v>-0.48</v>
      </c>
      <c r="C47">
        <f>A47*'空芯（換算式）'!$G$2</f>
        <v/>
      </c>
      <c r="D47">
        <f>IF(C47=0,"",IF(B47="","",B47/C47))</f>
        <v/>
      </c>
    </row>
    <row r="48">
      <c r="A48" t="n">
        <v>-4.5</v>
      </c>
      <c r="B48" t="n">
        <v>-0.47</v>
      </c>
      <c r="C48">
        <f>A48*'空芯（換算式）'!$G$2</f>
        <v/>
      </c>
      <c r="D48">
        <f>IF(C48=0,"",IF(B48="","",B48/C48))</f>
        <v/>
      </c>
    </row>
    <row r="49">
      <c r="A49" t="n">
        <v>-4</v>
      </c>
      <c r="B49" t="n">
        <v>-0.45</v>
      </c>
      <c r="C49">
        <f>A49*'空芯（換算式）'!$G$2</f>
        <v/>
      </c>
      <c r="D49">
        <f>IF(C49=0,"",IF(B49="","",B49/C49))</f>
        <v/>
      </c>
    </row>
    <row r="50">
      <c r="A50" t="n">
        <v>-3.5</v>
      </c>
      <c r="B50" t="n">
        <v>-0.43</v>
      </c>
      <c r="C50">
        <f>A50*'空芯（換算式）'!$G$2</f>
        <v/>
      </c>
      <c r="D50">
        <f>IF(C50=0,"",IF(B50="","",B50/C50))</f>
        <v/>
      </c>
    </row>
    <row r="51">
      <c r="A51" t="n">
        <v>-3</v>
      </c>
      <c r="B51" t="n">
        <v>-0.41</v>
      </c>
      <c r="C51">
        <f>A51*'空芯（換算式）'!$G$2</f>
        <v/>
      </c>
      <c r="D51">
        <f>IF(C51=0,"",IF(B51="","",B51/C51))</f>
        <v/>
      </c>
    </row>
    <row r="52">
      <c r="A52" t="n">
        <v>-2.5</v>
      </c>
      <c r="B52" t="n">
        <v>-0.4</v>
      </c>
      <c r="C52">
        <f>A52*'空芯（換算式）'!$G$2</f>
        <v/>
      </c>
      <c r="D52">
        <f>IF(C52=0,"",IF(B52="","",B52/C52))</f>
        <v/>
      </c>
    </row>
    <row r="53">
      <c r="A53" t="n">
        <v>-2</v>
      </c>
      <c r="B53" t="n">
        <v>-0.39</v>
      </c>
      <c r="C53">
        <f>A53*'空芯（換算式）'!$G$2</f>
        <v/>
      </c>
      <c r="D53">
        <f>IF(C53=0,"",IF(B53="","",B53/C53))</f>
        <v/>
      </c>
    </row>
    <row r="54">
      <c r="A54" t="n">
        <v>-1.5</v>
      </c>
      <c r="B54" t="n">
        <v>-0.38</v>
      </c>
      <c r="C54">
        <f>A54*'空芯（換算式）'!$G$2</f>
        <v/>
      </c>
      <c r="D54">
        <f>IF(C54=0,"",IF(B54="","",B54/C54))</f>
        <v/>
      </c>
    </row>
    <row r="55">
      <c r="A55" t="n">
        <v>-1</v>
      </c>
      <c r="B55" t="n">
        <v>-0.35</v>
      </c>
      <c r="C55">
        <f>A55*'空芯（換算式）'!$G$2</f>
        <v/>
      </c>
      <c r="D55">
        <f>IF(C55=0,"",IF(B55="","",B55/C55))</f>
        <v/>
      </c>
    </row>
    <row r="56">
      <c r="A56" t="n">
        <v>-0.5</v>
      </c>
      <c r="B56" t="n">
        <v>-0.33</v>
      </c>
      <c r="C56">
        <f>A56*'空芯（換算式）'!$G$2</f>
        <v/>
      </c>
      <c r="D56">
        <f>IF(C56=0,"",IF(B56="","",B56/C56))</f>
        <v/>
      </c>
    </row>
    <row r="57">
      <c r="A57" t="n">
        <v>0</v>
      </c>
      <c r="B57" t="n">
        <v>-0.31</v>
      </c>
      <c r="C57">
        <f>A57*'空芯（換算式）'!$G$2</f>
        <v/>
      </c>
      <c r="D57">
        <f>IF(C57=0,"",IF(B57="","",B57/C57))</f>
        <v/>
      </c>
    </row>
    <row r="58">
      <c r="A58" t="n">
        <v>0.5</v>
      </c>
      <c r="B58" t="n">
        <v>-0.3</v>
      </c>
      <c r="C58">
        <f>A58*'空芯（換算式）'!$G$2</f>
        <v/>
      </c>
      <c r="D58">
        <f>IF(C58=0,"",IF(B58="","",B58/C58))</f>
        <v/>
      </c>
    </row>
    <row r="59">
      <c r="A59" t="n">
        <v>1</v>
      </c>
      <c r="B59" t="n">
        <v>-0.28</v>
      </c>
      <c r="C59">
        <f>A59*'空芯（換算式）'!$G$2</f>
        <v/>
      </c>
      <c r="D59">
        <f>IF(C59=0,"",IF(B59="","",B59/C59))</f>
        <v/>
      </c>
    </row>
    <row r="60">
      <c r="A60" t="n">
        <v>1.5</v>
      </c>
      <c r="B60" t="n">
        <v>-0.25</v>
      </c>
      <c r="C60">
        <f>A60*'空芯（換算式）'!$G$2</f>
        <v/>
      </c>
      <c r="D60">
        <f>IF(C60=0,"",IF(B60="","",B60/C60))</f>
        <v/>
      </c>
    </row>
    <row r="61">
      <c r="A61" t="n">
        <v>2</v>
      </c>
      <c r="B61" t="n">
        <v>-0.21</v>
      </c>
      <c r="C61">
        <f>A61*'空芯（換算式）'!$G$2</f>
        <v/>
      </c>
      <c r="D61">
        <f>IF(C61=0,"",IF(B61="","",B61/C61))</f>
        <v/>
      </c>
    </row>
    <row r="62">
      <c r="A62" t="n">
        <v>2.5</v>
      </c>
      <c r="B62" t="n">
        <v>-0.2</v>
      </c>
      <c r="C62">
        <f>A62*'空芯（換算式）'!$G$2</f>
        <v/>
      </c>
      <c r="D62">
        <f>IF(C62=0,"",IF(B62="","",B62/C62))</f>
        <v/>
      </c>
    </row>
    <row r="63">
      <c r="A63" t="n">
        <v>3</v>
      </c>
      <c r="B63" t="n">
        <v>-0.17</v>
      </c>
      <c r="C63">
        <f>A63*'空芯（換算式）'!$G$2</f>
        <v/>
      </c>
      <c r="D63">
        <f>IF(C63=0,"",IF(B63="","",B63/C63))</f>
        <v/>
      </c>
    </row>
    <row r="64">
      <c r="A64" t="n">
        <v>3.5</v>
      </c>
      <c r="B64" t="n">
        <v>-0.1</v>
      </c>
      <c r="C64">
        <f>A64*'空芯（換算式）'!$G$2</f>
        <v/>
      </c>
      <c r="D64">
        <f>IF(C64=0,"",IF(B64="","",B64/C64))</f>
        <v/>
      </c>
    </row>
    <row r="65">
      <c r="A65" t="n">
        <v>4</v>
      </c>
      <c r="B65" t="n">
        <v>-0.01</v>
      </c>
      <c r="C65">
        <f>A65*'空芯（換算式）'!$G$2</f>
        <v/>
      </c>
      <c r="D65">
        <f>IF(C65=0,"",IF(B65="","",B65/C65))</f>
        <v/>
      </c>
    </row>
    <row r="66">
      <c r="A66" t="n">
        <v>4.5</v>
      </c>
      <c r="B66" t="n">
        <v>0.097</v>
      </c>
      <c r="C66">
        <f>A66*'空芯（換算式）'!$G$2</f>
        <v/>
      </c>
      <c r="D66">
        <f>IF(C66=0,"",IF(B66="","",B66/C66))</f>
        <v/>
      </c>
    </row>
    <row r="67">
      <c r="A67" t="n">
        <v>5</v>
      </c>
      <c r="B67" t="n">
        <v>0.2</v>
      </c>
      <c r="C67">
        <f>A67*'空芯（換算式）'!$G$2</f>
        <v/>
      </c>
      <c r="D67">
        <f>IF(C67=0,"",IF(B67="","",B67/C67))</f>
        <v/>
      </c>
    </row>
    <row r="68">
      <c r="A68" t="n">
        <v>5.5</v>
      </c>
      <c r="B68" t="n">
        <v>0.28</v>
      </c>
      <c r="C68">
        <f>A68*'空芯（換算式）'!$G$2</f>
        <v/>
      </c>
      <c r="D68">
        <f>IF(C68=0,"",IF(B68="","",B68/C68))</f>
        <v/>
      </c>
    </row>
    <row r="69">
      <c r="A69" t="n">
        <v>6</v>
      </c>
      <c r="B69" t="n">
        <v>0.38</v>
      </c>
      <c r="C69">
        <f>A69*'空芯（換算式）'!$G$2</f>
        <v/>
      </c>
      <c r="D69">
        <f>IF(C69=0,"",IF(B69="","",B69/C69))</f>
        <v/>
      </c>
    </row>
    <row r="70">
      <c r="A70" t="n">
        <v>6.5</v>
      </c>
      <c r="B70" t="n">
        <v>0.49</v>
      </c>
      <c r="C70">
        <f>A70*'空芯（換算式）'!$G$2</f>
        <v/>
      </c>
      <c r="D70">
        <f>IF(C70=0,"",IF(B70="","",B70/C70))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電流 I [A]</t>
        </is>
      </c>
      <c r="B1" s="1" t="inlineStr">
        <is>
          <t>磁束密度 B [T]</t>
        </is>
      </c>
      <c r="C1" s="1" t="inlineStr">
        <is>
          <t>磁界 H [A/m]</t>
        </is>
      </c>
      <c r="D1" s="1" t="inlineStr">
        <is>
          <t>透磁率 μ=B/H [H/m]</t>
        </is>
      </c>
    </row>
    <row r="2">
      <c r="A2" t="n">
        <v>0</v>
      </c>
      <c r="B2" t="n">
        <v>0</v>
      </c>
      <c r="C2">
        <f>A2*'空芯（換算式）'!$G$2</f>
        <v/>
      </c>
      <c r="D2">
        <f>IF(C2=0,"",IF(B2="","",B2/C2))</f>
        <v/>
      </c>
    </row>
    <row r="3">
      <c r="A3" t="n">
        <v>0.2</v>
      </c>
      <c r="B3" t="n">
        <v>0.13</v>
      </c>
      <c r="C3">
        <f>A3*'空芯（換算式）'!$G$2</f>
        <v/>
      </c>
      <c r="D3">
        <f>IF(C3=0,"",IF(B3="","",B3/C3))</f>
        <v/>
      </c>
    </row>
    <row r="4">
      <c r="A4" t="n">
        <v>0.4</v>
      </c>
      <c r="B4" t="n">
        <v>0.3</v>
      </c>
      <c r="C4">
        <f>A4*'空芯（換算式）'!$G$2</f>
        <v/>
      </c>
      <c r="D4">
        <f>IF(C4=0,"",IF(B4="","",B4/C4))</f>
        <v/>
      </c>
    </row>
    <row r="5">
      <c r="A5" t="n">
        <v>0.6</v>
      </c>
      <c r="B5" t="n">
        <v>0.33</v>
      </c>
      <c r="C5">
        <f>A5*'空芯（換算式）'!$G$2</f>
        <v/>
      </c>
      <c r="D5">
        <f>IF(C5=0,"",IF(B5="","",B5/C5))</f>
        <v/>
      </c>
    </row>
    <row r="6">
      <c r="A6" t="n">
        <v>0.8</v>
      </c>
      <c r="B6" t="n">
        <v>0.48</v>
      </c>
      <c r="C6">
        <f>A6*'空芯（換算式）'!$G$2</f>
        <v/>
      </c>
      <c r="D6">
        <f>IF(C6=0,"",IF(B6="","",B6/C6))</f>
        <v/>
      </c>
    </row>
    <row r="7">
      <c r="A7" t="n">
        <v>1</v>
      </c>
      <c r="B7" t="n">
        <v>0.51</v>
      </c>
      <c r="C7">
        <f>A7*'空芯（換算式）'!$G$2</f>
        <v/>
      </c>
      <c r="D7">
        <f>IF(C7=0,"",IF(B7="","",B7/C7))</f>
        <v/>
      </c>
    </row>
    <row r="8">
      <c r="A8" t="n">
        <v>1.5</v>
      </c>
      <c r="B8" t="n">
        <v>0.62</v>
      </c>
      <c r="C8">
        <f>A8*'空芯（換算式）'!$G$2</f>
        <v/>
      </c>
      <c r="D8">
        <f>IF(C8=0,"",IF(B8="","",B8/C8))</f>
        <v/>
      </c>
    </row>
    <row r="9">
      <c r="A9" t="n">
        <v>2</v>
      </c>
      <c r="B9" t="n">
        <v>0.73</v>
      </c>
      <c r="C9">
        <f>A9*'空芯（換算式）'!$G$2</f>
        <v/>
      </c>
      <c r="D9">
        <f>IF(C9=0,"",IF(B9="","",B9/C9))</f>
        <v/>
      </c>
    </row>
    <row r="10">
      <c r="A10" t="n">
        <v>2.5</v>
      </c>
      <c r="B10" t="n">
        <v>0.82</v>
      </c>
      <c r="C10">
        <f>A10*'空芯（換算式）'!$G$2</f>
        <v/>
      </c>
      <c r="D10">
        <f>IF(C10=0,"",IF(B10="","",B10/C10))</f>
        <v/>
      </c>
    </row>
    <row r="11">
      <c r="A11" t="n">
        <v>3</v>
      </c>
      <c r="B11" t="n">
        <v>0.9</v>
      </c>
      <c r="C11">
        <f>A11*'空芯（換算式）'!$G$2</f>
        <v/>
      </c>
      <c r="D11">
        <f>IF(C11=0,"",IF(B11="","",B11/C11))</f>
        <v/>
      </c>
    </row>
    <row r="12">
      <c r="A12" t="n">
        <v>3.5</v>
      </c>
      <c r="B12" t="n">
        <v>0.98</v>
      </c>
      <c r="C12">
        <f>A12*'空芯（換算式）'!$G$2</f>
        <v/>
      </c>
      <c r="D12">
        <f>IF(C12=0,"",IF(B12="","",B12/C12))</f>
        <v/>
      </c>
    </row>
    <row r="13">
      <c r="A13" t="n">
        <v>4</v>
      </c>
      <c r="B13" t="n">
        <v>1.02</v>
      </c>
      <c r="C13">
        <f>A13*'空芯（換算式）'!$G$2</f>
        <v/>
      </c>
      <c r="D13">
        <f>IF(C13=0,"",IF(B13="","",B13/C13))</f>
        <v/>
      </c>
    </row>
    <row r="14">
      <c r="A14" t="n">
        <v>4.5</v>
      </c>
      <c r="B14" t="n">
        <v>1.09</v>
      </c>
      <c r="C14">
        <f>A14*'空芯（換算式）'!$G$2</f>
        <v/>
      </c>
      <c r="D14">
        <f>IF(C14=0,"",IF(B14="","",B14/C14))</f>
        <v/>
      </c>
    </row>
    <row r="15">
      <c r="A15" t="n">
        <v>5</v>
      </c>
      <c r="B15" t="n">
        <v>1.13</v>
      </c>
      <c r="C15">
        <f>A15*'空芯（換算式）'!$G$2</f>
        <v/>
      </c>
      <c r="D15">
        <f>IF(C15=0,"",IF(B15="","",B15/C15))</f>
        <v/>
      </c>
    </row>
    <row r="16">
      <c r="A16" t="n">
        <v>4.5</v>
      </c>
      <c r="B16" t="n">
        <v>1.1</v>
      </c>
      <c r="C16">
        <f>A16*'空芯（換算式）'!$G$2</f>
        <v/>
      </c>
      <c r="D16">
        <f>IF(C16=0,"",IF(B16="","",B16/C16))</f>
        <v/>
      </c>
    </row>
    <row r="17">
      <c r="A17" t="n">
        <v>4</v>
      </c>
      <c r="B17" t="n">
        <v>1.08</v>
      </c>
      <c r="C17">
        <f>A17*'空芯（換算式）'!$G$2</f>
        <v/>
      </c>
      <c r="D17">
        <f>IF(C17=0,"",IF(B17="","",B17/C17))</f>
        <v/>
      </c>
    </row>
    <row r="18">
      <c r="A18" t="n">
        <v>3.5</v>
      </c>
      <c r="B18" t="n">
        <v>1</v>
      </c>
      <c r="C18">
        <f>A18*'空芯（換算式）'!$G$2</f>
        <v/>
      </c>
      <c r="D18">
        <f>IF(C18=0,"",IF(B18="","",B18/C18))</f>
        <v/>
      </c>
    </row>
    <row r="19">
      <c r="A19" t="n">
        <v>3</v>
      </c>
      <c r="B19" t="n">
        <v>0.92</v>
      </c>
      <c r="C19">
        <f>A19*'空芯（換算式）'!$G$2</f>
        <v/>
      </c>
      <c r="D19">
        <f>IF(C19=0,"",IF(B19="","",B19/C19))</f>
        <v/>
      </c>
    </row>
    <row r="20">
      <c r="A20" t="n">
        <v>2.5</v>
      </c>
      <c r="B20" t="n">
        <v>0.88</v>
      </c>
      <c r="C20">
        <f>A20*'空芯（換算式）'!$G$2</f>
        <v/>
      </c>
      <c r="D20">
        <f>IF(C20=0,"",IF(B20="","",B20/C20))</f>
        <v/>
      </c>
    </row>
    <row r="21">
      <c r="A21" t="n">
        <v>2</v>
      </c>
      <c r="B21" t="n">
        <v>0.8</v>
      </c>
      <c r="C21">
        <f>A21*'空芯（換算式）'!$G$2</f>
        <v/>
      </c>
      <c r="D21">
        <f>IF(C21=0,"",IF(B21="","",B21/C21))</f>
        <v/>
      </c>
    </row>
    <row r="22">
      <c r="A22" t="n">
        <v>1.5</v>
      </c>
      <c r="B22" t="n">
        <v>0.7</v>
      </c>
      <c r="C22">
        <f>A22*'空芯（換算式）'!$G$2</f>
        <v/>
      </c>
      <c r="D22">
        <f>IF(C22=0,"",IF(B22="","",B22/C22))</f>
        <v/>
      </c>
    </row>
    <row r="23">
      <c r="A23" t="n">
        <v>1</v>
      </c>
      <c r="B23" t="n">
        <v>0.59</v>
      </c>
      <c r="C23">
        <f>A23*'空芯（換算式）'!$G$2</f>
        <v/>
      </c>
      <c r="D23">
        <f>IF(C23=0,"",IF(B23="","",B23/C23))</f>
        <v/>
      </c>
    </row>
    <row r="24">
      <c r="A24" t="n">
        <v>0.5</v>
      </c>
      <c r="B24" t="n">
        <v>0.42</v>
      </c>
      <c r="C24">
        <f>A24*'空芯（換算式）'!$G$2</f>
        <v/>
      </c>
      <c r="D24">
        <f>IF(C24=0,"",IF(B24="","",B24/C24))</f>
        <v/>
      </c>
    </row>
    <row r="25">
      <c r="A25" t="n">
        <v>0</v>
      </c>
      <c r="B25" t="n">
        <v>0.01</v>
      </c>
      <c r="C25">
        <f>A25*'空芯（換算式）'!$G$2</f>
        <v/>
      </c>
      <c r="D25">
        <f>IF(C25=0,"",IF(B25="","",B25/C25))</f>
        <v/>
      </c>
    </row>
    <row r="26">
      <c r="A26" t="n">
        <v>-0.5</v>
      </c>
      <c r="B26" t="n">
        <v>-0.33</v>
      </c>
      <c r="C26">
        <f>A26*'空芯（換算式）'!$G$2</f>
        <v/>
      </c>
      <c r="D26">
        <f>IF(C26=0,"",IF(B26="","",B26/C26))</f>
        <v/>
      </c>
    </row>
    <row r="27">
      <c r="A27" t="n">
        <v>-1</v>
      </c>
      <c r="B27" t="n">
        <v>-0.57</v>
      </c>
      <c r="C27">
        <f>A27*'空芯（換算式）'!$G$2</f>
        <v/>
      </c>
      <c r="D27">
        <f>IF(C27=0,"",IF(B27="","",B27/C27))</f>
        <v/>
      </c>
    </row>
    <row r="28">
      <c r="A28" t="n">
        <v>-1.5</v>
      </c>
      <c r="B28" t="n">
        <v>-0.6899999999999999</v>
      </c>
      <c r="C28">
        <f>A28*'空芯（換算式）'!$G$2</f>
        <v/>
      </c>
      <c r="D28">
        <f>IF(C28=0,"",IF(B28="","",B28/C28))</f>
        <v/>
      </c>
    </row>
    <row r="29">
      <c r="A29" t="n">
        <v>-2</v>
      </c>
      <c r="B29" t="n">
        <v>-0.8</v>
      </c>
      <c r="C29">
        <f>A29*'空芯（換算式）'!$G$2</f>
        <v/>
      </c>
      <c r="D29">
        <f>IF(C29=0,"",IF(B29="","",B29/C29))</f>
        <v/>
      </c>
    </row>
    <row r="30">
      <c r="A30" t="n">
        <v>-2.5</v>
      </c>
      <c r="B30" t="n">
        <v>-0.87</v>
      </c>
      <c r="C30">
        <f>A30*'空芯（換算式）'!$G$2</f>
        <v/>
      </c>
      <c r="D30">
        <f>IF(C30=0,"",IF(B30="","",B30/C30))</f>
        <v/>
      </c>
    </row>
    <row r="31">
      <c r="A31" t="n">
        <v>-3</v>
      </c>
      <c r="B31" t="n">
        <v>-0.95</v>
      </c>
      <c r="C31">
        <f>A31*'空芯（換算式）'!$G$2</f>
        <v/>
      </c>
      <c r="D31">
        <f>IF(C31=0,"",IF(B31="","",B31/C31))</f>
        <v/>
      </c>
    </row>
    <row r="32">
      <c r="A32" t="n">
        <v>-3.5</v>
      </c>
      <c r="B32" t="n">
        <v>-1.02</v>
      </c>
      <c r="C32">
        <f>A32*'空芯（換算式）'!$G$2</f>
        <v/>
      </c>
      <c r="D32">
        <f>IF(C32=0,"",IF(B32="","",B32/C32))</f>
        <v/>
      </c>
    </row>
    <row r="33">
      <c r="A33" t="n">
        <v>-4</v>
      </c>
      <c r="B33" t="n">
        <v>-1.1</v>
      </c>
      <c r="C33">
        <f>A33*'空芯（換算式）'!$G$2</f>
        <v/>
      </c>
      <c r="D33">
        <f>IF(C33=0,"",IF(B33="","",B33/C33))</f>
        <v/>
      </c>
    </row>
    <row r="34">
      <c r="A34" t="n">
        <v>-4.5</v>
      </c>
      <c r="B34" t="n">
        <v>-1.13</v>
      </c>
      <c r="C34">
        <f>A34*'空芯（換算式）'!$G$2</f>
        <v/>
      </c>
      <c r="D34">
        <f>IF(C34=0,"",IF(B34="","",B34/C34))</f>
        <v/>
      </c>
    </row>
    <row r="35">
      <c r="A35" t="n">
        <v>-5</v>
      </c>
      <c r="B35" t="n">
        <v>-1.23</v>
      </c>
      <c r="C35">
        <f>A35*'空芯（換算式）'!$G$2</f>
        <v/>
      </c>
      <c r="D35">
        <f>IF(C35=0,"",IF(B35="","",B35/C35))</f>
        <v/>
      </c>
    </row>
    <row r="36">
      <c r="A36" t="n">
        <v>-4.5</v>
      </c>
      <c r="B36" t="n">
        <v>-1.19</v>
      </c>
      <c r="C36">
        <f>A36*'空芯（換算式）'!$G$2</f>
        <v/>
      </c>
      <c r="D36">
        <f>IF(C36=0,"",IF(B36="","",B36/C36))</f>
        <v/>
      </c>
    </row>
    <row r="37">
      <c r="A37" t="n">
        <v>-4</v>
      </c>
      <c r="B37" t="n">
        <v>-1.11</v>
      </c>
      <c r="C37">
        <f>A37*'空芯（換算式）'!$G$2</f>
        <v/>
      </c>
      <c r="D37">
        <f>IF(C37=0,"",IF(B37="","",B37/C37))</f>
        <v/>
      </c>
    </row>
    <row r="38">
      <c r="A38" t="n">
        <v>-3.5</v>
      </c>
      <c r="B38" t="n">
        <v>-1.05</v>
      </c>
      <c r="C38">
        <f>A38*'空芯（換算式）'!$G$2</f>
        <v/>
      </c>
      <c r="D38">
        <f>IF(C38=0,"",IF(B38="","",B38/C38))</f>
        <v/>
      </c>
    </row>
    <row r="39">
      <c r="A39" t="n">
        <v>-3</v>
      </c>
      <c r="B39" t="n">
        <v>-1</v>
      </c>
      <c r="C39">
        <f>A39*'空芯（換算式）'!$G$2</f>
        <v/>
      </c>
      <c r="D39">
        <f>IF(C39=0,"",IF(B39="","",B39/C39))</f>
        <v/>
      </c>
    </row>
    <row r="40">
      <c r="A40" t="n">
        <v>-2.5</v>
      </c>
      <c r="B40" t="n">
        <v>-0.92</v>
      </c>
      <c r="C40">
        <f>A40*'空芯（換算式）'!$G$2</f>
        <v/>
      </c>
      <c r="D40">
        <f>IF(C40=0,"",IF(B40="","",B40/C40))</f>
        <v/>
      </c>
    </row>
    <row r="41">
      <c r="A41" t="n">
        <v>-2</v>
      </c>
      <c r="B41" t="n">
        <v>-0.83</v>
      </c>
      <c r="C41">
        <f>A41*'空芯（換算式）'!$G$2</f>
        <v/>
      </c>
      <c r="D41">
        <f>IF(C41=0,"",IF(B41="","",B41/C41))</f>
        <v/>
      </c>
    </row>
    <row r="42">
      <c r="A42" t="n">
        <v>-1.5</v>
      </c>
      <c r="B42" t="n">
        <v>-0.72</v>
      </c>
      <c r="C42">
        <f>A42*'空芯（換算式）'!$G$2</f>
        <v/>
      </c>
      <c r="D42">
        <f>IF(C42=0,"",IF(B42="","",B42/C42))</f>
        <v/>
      </c>
    </row>
    <row r="43">
      <c r="A43" t="n">
        <v>-1</v>
      </c>
      <c r="B43" t="n">
        <v>-0.62</v>
      </c>
      <c r="C43">
        <f>A43*'空芯（換算式）'!$G$2</f>
        <v/>
      </c>
      <c r="D43">
        <f>IF(C43=0,"",IF(B43="","",B43/C43))</f>
        <v/>
      </c>
    </row>
    <row r="44">
      <c r="A44" t="n">
        <v>-0.5</v>
      </c>
      <c r="B44" t="n">
        <v>-0.43</v>
      </c>
      <c r="C44">
        <f>A44*'空芯（換算式）'!$G$2</f>
        <v/>
      </c>
      <c r="D44">
        <f>IF(C44=0,"",IF(B44="","",B44/C44))</f>
        <v/>
      </c>
    </row>
    <row r="45">
      <c r="A45" t="n">
        <v>0</v>
      </c>
      <c r="B45" t="n">
        <v>-0.05</v>
      </c>
      <c r="C45">
        <f>A45*'空芯（換算式）'!$G$2</f>
        <v/>
      </c>
      <c r="D45">
        <f>IF(C45=0,"",IF(B45="","",B45/C45))</f>
        <v/>
      </c>
    </row>
    <row r="46">
      <c r="A46" t="n">
        <v>0.5</v>
      </c>
      <c r="B46" t="n">
        <v>0.23</v>
      </c>
      <c r="C46">
        <f>A46*'空芯（換算式）'!$G$2</f>
        <v/>
      </c>
      <c r="D46">
        <f>IF(C46=0,"",IF(B46="","",B46/C46))</f>
        <v/>
      </c>
    </row>
    <row r="47">
      <c r="A47" t="n">
        <v>1</v>
      </c>
      <c r="B47" t="n">
        <v>0.52</v>
      </c>
      <c r="C47">
        <f>A47*'空芯（換算式）'!$G$2</f>
        <v/>
      </c>
      <c r="D47">
        <f>IF(C47=0,"",IF(B47="","",B47/C47))</f>
        <v/>
      </c>
    </row>
    <row r="48">
      <c r="A48" t="n">
        <v>1.5</v>
      </c>
      <c r="B48" t="n">
        <v>0.67</v>
      </c>
      <c r="C48">
        <f>A48*'空芯（換算式）'!$G$2</f>
        <v/>
      </c>
      <c r="D48">
        <f>IF(C48=0,"",IF(B48="","",B48/C48))</f>
        <v/>
      </c>
    </row>
    <row r="49">
      <c r="A49" t="n">
        <v>2</v>
      </c>
      <c r="B49" t="n">
        <v>0.75</v>
      </c>
      <c r="C49">
        <f>A49*'空芯（換算式）'!$G$2</f>
        <v/>
      </c>
      <c r="D49">
        <f>IF(C49=0,"",IF(B49="","",B49/C49))</f>
        <v/>
      </c>
    </row>
    <row r="50">
      <c r="A50" t="n">
        <v>2.5</v>
      </c>
      <c r="B50" t="n">
        <v>0.83</v>
      </c>
      <c r="C50">
        <f>A50*'空芯（換算式）'!$G$2</f>
        <v/>
      </c>
      <c r="D50">
        <f>IF(C50=0,"",IF(B50="","",B50/C50))</f>
        <v/>
      </c>
    </row>
    <row r="51">
      <c r="A51" t="n">
        <v>3</v>
      </c>
      <c r="B51" t="n">
        <v>0.91</v>
      </c>
      <c r="C51">
        <f>A51*'空芯（換算式）'!$G$2</f>
        <v/>
      </c>
      <c r="D51">
        <f>IF(C51=0,"",IF(B51="","",B51/C51))</f>
        <v/>
      </c>
    </row>
    <row r="52">
      <c r="A52" t="n">
        <v>3.5</v>
      </c>
      <c r="B52" t="n">
        <v>0.99</v>
      </c>
      <c r="C52">
        <f>A52*'空芯（換算式）'!$G$2</f>
        <v/>
      </c>
      <c r="D52">
        <f>IF(C52=0,"",IF(B52="","",B52/C52))</f>
        <v/>
      </c>
    </row>
    <row r="53">
      <c r="A53" t="n">
        <v>4</v>
      </c>
      <c r="B53" t="n">
        <v>1.07</v>
      </c>
      <c r="C53">
        <f>A53*'空芯（換算式）'!$G$2</f>
        <v/>
      </c>
      <c r="D53">
        <f>IF(C53=0,"",IF(B53="","",B53/C53))</f>
        <v/>
      </c>
    </row>
    <row r="54">
      <c r="A54" t="n">
        <v>4.5</v>
      </c>
      <c r="B54" t="n">
        <v>1.12</v>
      </c>
      <c r="C54">
        <f>A54*'空芯（換算式）'!$G$2</f>
        <v/>
      </c>
      <c r="D54">
        <f>IF(C54=0,"",IF(B54="","",B54/C54))</f>
        <v/>
      </c>
    </row>
    <row r="55">
      <c r="A55" t="n">
        <v>5</v>
      </c>
      <c r="B55" t="n">
        <v>1.2</v>
      </c>
      <c r="C55">
        <f>A55*'空芯（換算式）'!$G$2</f>
        <v/>
      </c>
      <c r="D55">
        <f>IF(C55=0,"",IF(B55="","",B55/C55))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(ⅰ) N 増加</t>
        </is>
      </c>
      <c r="D1" t="inlineStr">
        <is>
          <t>(ⅱ) N 減少</t>
        </is>
      </c>
      <c r="G1" t="inlineStr">
        <is>
          <t>(ⅲ) S 増加</t>
        </is>
      </c>
      <c r="J1" t="inlineStr">
        <is>
          <t>(ⅳ) S 減少</t>
        </is>
      </c>
      <c r="M1" t="inlineStr">
        <is>
          <t>(ⅴ) N 再び増加</t>
        </is>
      </c>
    </row>
    <row r="2">
      <c r="A2" t="inlineStr">
        <is>
          <t>励磁電流 I [A]</t>
        </is>
      </c>
      <c r="B2" t="inlineStr">
        <is>
          <t>B [T]</t>
        </is>
      </c>
      <c r="D2" t="inlineStr">
        <is>
          <t>励磁電流 I [A]</t>
        </is>
      </c>
      <c r="E2" t="inlineStr">
        <is>
          <t>B [T]</t>
        </is>
      </c>
      <c r="G2" t="inlineStr">
        <is>
          <t>励磁電流 I [A]</t>
        </is>
      </c>
      <c r="H2" t="inlineStr">
        <is>
          <t>B [T]</t>
        </is>
      </c>
      <c r="J2" t="inlineStr">
        <is>
          <t>励磁電流 I [A]</t>
        </is>
      </c>
      <c r="K2" t="inlineStr">
        <is>
          <t>B [T]</t>
        </is>
      </c>
      <c r="M2" t="inlineStr">
        <is>
          <t>励磁電流 I [A]</t>
        </is>
      </c>
      <c r="N2" t="inlineStr">
        <is>
          <t>B [T]</t>
        </is>
      </c>
    </row>
    <row r="3">
      <c r="A3" t="n">
        <v>0</v>
      </c>
      <c r="B3" t="n">
        <v>0</v>
      </c>
      <c r="D3" t="n">
        <v>5</v>
      </c>
      <c r="E3" t="n">
        <v>0.055</v>
      </c>
      <c r="G3" t="n">
        <v>0</v>
      </c>
      <c r="H3" t="n">
        <v>0.001</v>
      </c>
      <c r="J3" t="n">
        <v>-5</v>
      </c>
      <c r="K3" t="n">
        <v>-0.052</v>
      </c>
      <c r="M3" t="n">
        <v>0</v>
      </c>
      <c r="N3" t="n">
        <v>0.001</v>
      </c>
    </row>
    <row r="4">
      <c r="A4" t="n">
        <v>0.2</v>
      </c>
      <c r="B4" t="n">
        <v>0.002</v>
      </c>
      <c r="D4" t="n">
        <v>4.5</v>
      </c>
      <c r="E4" t="n">
        <v>0.051</v>
      </c>
      <c r="G4" t="n">
        <v>-0.5</v>
      </c>
      <c r="H4" t="n">
        <v>-0.003</v>
      </c>
      <c r="J4" t="n">
        <v>-4.5</v>
      </c>
      <c r="K4" t="n">
        <v>-0.049</v>
      </c>
      <c r="M4" t="n">
        <v>0.5</v>
      </c>
      <c r="N4" t="n">
        <v>0.005</v>
      </c>
    </row>
    <row r="5">
      <c r="A5" t="n">
        <v>0.4</v>
      </c>
      <c r="B5" t="n">
        <v>0.005</v>
      </c>
      <c r="D5" t="n">
        <v>4</v>
      </c>
      <c r="E5" t="n">
        <v>0.048</v>
      </c>
      <c r="G5" t="n">
        <v>-1</v>
      </c>
      <c r="H5" t="n">
        <v>-0.011</v>
      </c>
      <c r="J5" t="n">
        <v>-4</v>
      </c>
      <c r="K5" t="n">
        <v>-0.045</v>
      </c>
      <c r="M5" t="n">
        <v>1</v>
      </c>
      <c r="N5" t="n">
        <v>0.012</v>
      </c>
    </row>
    <row r="6">
      <c r="A6" t="n">
        <v>0.6</v>
      </c>
      <c r="B6" t="n">
        <v>0.008</v>
      </c>
      <c r="D6" t="n">
        <v>3.5</v>
      </c>
      <c r="E6" t="n">
        <v>0.041</v>
      </c>
      <c r="G6" t="n">
        <v>-1.5</v>
      </c>
      <c r="H6" t="n">
        <v>-0.015</v>
      </c>
      <c r="J6" t="n">
        <v>-3.5</v>
      </c>
      <c r="K6" t="n">
        <v>-0.039</v>
      </c>
      <c r="M6" t="n">
        <v>1.5</v>
      </c>
      <c r="N6" t="n">
        <v>0.019</v>
      </c>
    </row>
    <row r="7">
      <c r="A7" t="n">
        <v>0.8</v>
      </c>
      <c r="B7" t="n">
        <v>0.008999999999999999</v>
      </c>
      <c r="D7" t="n">
        <v>3</v>
      </c>
      <c r="E7" t="n">
        <v>0.036</v>
      </c>
      <c r="G7" t="n">
        <v>-2</v>
      </c>
      <c r="H7" t="n">
        <v>-0.021</v>
      </c>
      <c r="J7" t="n">
        <v>-3</v>
      </c>
      <c r="K7" t="n">
        <v>-0.032</v>
      </c>
      <c r="M7" t="n">
        <v>2</v>
      </c>
      <c r="N7" t="n">
        <v>0.022</v>
      </c>
    </row>
    <row r="8">
      <c r="A8" t="n">
        <v>1</v>
      </c>
      <c r="B8" t="n">
        <v>0.012</v>
      </c>
      <c r="D8" t="n">
        <v>2.5</v>
      </c>
      <c r="E8" t="n">
        <v>0.039</v>
      </c>
      <c r="G8" t="n">
        <v>-2.5</v>
      </c>
      <c r="H8" t="n">
        <v>-0.028</v>
      </c>
      <c r="J8" t="n">
        <v>-2.5</v>
      </c>
      <c r="K8" t="n">
        <v>-0.028</v>
      </c>
      <c r="M8" t="n">
        <v>2.5</v>
      </c>
      <c r="N8" t="n">
        <v>0.029</v>
      </c>
    </row>
    <row r="9">
      <c r="A9" t="n">
        <v>1.5</v>
      </c>
      <c r="B9" t="n">
        <v>0.019</v>
      </c>
      <c r="D9" t="n">
        <v>2</v>
      </c>
      <c r="E9" t="n">
        <v>0.024</v>
      </c>
      <c r="G9" t="n">
        <v>-3</v>
      </c>
      <c r="H9" t="n">
        <v>-0.032</v>
      </c>
      <c r="J9" t="n">
        <v>-2</v>
      </c>
      <c r="K9" t="n">
        <v>-0.021</v>
      </c>
      <c r="M9" t="n">
        <v>3</v>
      </c>
      <c r="N9" t="n">
        <v>0.032</v>
      </c>
    </row>
    <row r="10">
      <c r="A10" t="n">
        <v>2</v>
      </c>
      <c r="B10" t="n">
        <v>0.022</v>
      </c>
      <c r="D10" t="n">
        <v>1.5</v>
      </c>
      <c r="E10" t="n">
        <v>0.018</v>
      </c>
      <c r="G10" t="n">
        <v>-3.5</v>
      </c>
      <c r="H10" t="n">
        <v>-0.039</v>
      </c>
      <c r="J10" t="n">
        <v>-1.5</v>
      </c>
      <c r="K10" t="n">
        <v>-0.015</v>
      </c>
      <c r="M10" t="n">
        <v>3.5</v>
      </c>
      <c r="N10" t="n">
        <v>0.04</v>
      </c>
    </row>
    <row r="11">
      <c r="A11" t="n">
        <v>2.5</v>
      </c>
      <c r="B11" t="n">
        <v>0.029</v>
      </c>
      <c r="D11" t="n">
        <v>1</v>
      </c>
      <c r="E11" t="n">
        <v>0.013</v>
      </c>
      <c r="G11" t="n">
        <v>-4</v>
      </c>
      <c r="H11" t="n">
        <v>-0.042</v>
      </c>
      <c r="J11" t="n">
        <v>-1</v>
      </c>
      <c r="K11" t="n">
        <v>-0.008999999999999999</v>
      </c>
      <c r="M11" t="n">
        <v>4</v>
      </c>
      <c r="N11" t="n">
        <v>0.045</v>
      </c>
    </row>
    <row r="12">
      <c r="A12" t="n">
        <v>3</v>
      </c>
      <c r="B12" t="n">
        <v>0.033</v>
      </c>
      <c r="D12" t="n">
        <v>0.5</v>
      </c>
      <c r="E12" t="n">
        <v>0.005</v>
      </c>
      <c r="G12" t="n">
        <v>-4.5</v>
      </c>
      <c r="H12" t="n">
        <v>-0.049</v>
      </c>
      <c r="J12" t="n">
        <v>-0.5</v>
      </c>
      <c r="K12" t="n">
        <v>-0.004</v>
      </c>
      <c r="M12" t="n">
        <v>4.5</v>
      </c>
      <c r="N12" t="n">
        <v>0.049</v>
      </c>
    </row>
    <row r="13">
      <c r="A13" t="n">
        <v>3.5</v>
      </c>
      <c r="B13" t="n">
        <v>0.04</v>
      </c>
      <c r="D13" t="n">
        <v>0</v>
      </c>
      <c r="E13" t="n">
        <v>0.001</v>
      </c>
      <c r="G13" t="n">
        <v>-5</v>
      </c>
      <c r="H13" t="n">
        <v>-0.052</v>
      </c>
      <c r="J13" t="n">
        <v>0</v>
      </c>
      <c r="K13" t="n">
        <v>0.001</v>
      </c>
      <c r="M13" t="n">
        <v>5</v>
      </c>
      <c r="N13" t="n">
        <v>0.055</v>
      </c>
    </row>
    <row r="14">
      <c r="A14" t="n">
        <v>4</v>
      </c>
      <c r="B14" t="n">
        <v>0.045</v>
      </c>
    </row>
    <row r="15">
      <c r="A15" t="n">
        <v>4.5</v>
      </c>
      <c r="B15" t="n">
        <v>0.051</v>
      </c>
    </row>
    <row r="16">
      <c r="A16" t="n">
        <v>5</v>
      </c>
      <c r="B16" t="n">
        <v>0.055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(ⅰ) N 増加</t>
        </is>
      </c>
      <c r="D1" t="inlineStr">
        <is>
          <t>(ⅱ) N 減少</t>
        </is>
      </c>
      <c r="G1" t="inlineStr">
        <is>
          <t>(ⅲ) S 増加</t>
        </is>
      </c>
      <c r="J1" t="inlineStr">
        <is>
          <t>(ⅳ) S 減少</t>
        </is>
      </c>
      <c r="M1" t="inlineStr">
        <is>
          <t>(ⅴ) N 再び増加</t>
        </is>
      </c>
    </row>
    <row r="2">
      <c r="A2" t="inlineStr">
        <is>
          <t>励磁電流 I [A]</t>
        </is>
      </c>
      <c r="B2" t="inlineStr">
        <is>
          <t>B [T]</t>
        </is>
      </c>
      <c r="D2" t="inlineStr">
        <is>
          <t>励磁電流 I [A]</t>
        </is>
      </c>
      <c r="E2" t="inlineStr">
        <is>
          <t>B [T]</t>
        </is>
      </c>
      <c r="G2" t="inlineStr">
        <is>
          <t>励磁電流 I [A]</t>
        </is>
      </c>
      <c r="H2" t="inlineStr">
        <is>
          <t>B [T]</t>
        </is>
      </c>
      <c r="J2" t="inlineStr">
        <is>
          <t>励磁電流 I [A]</t>
        </is>
      </c>
      <c r="K2" t="inlineStr">
        <is>
          <t>B [T]</t>
        </is>
      </c>
      <c r="M2" t="inlineStr">
        <is>
          <t>励磁電流 I [A]</t>
        </is>
      </c>
      <c r="N2" t="inlineStr">
        <is>
          <t>B [T]</t>
        </is>
      </c>
    </row>
    <row r="3">
      <c r="A3" t="n">
        <v>0</v>
      </c>
      <c r="B3" t="n">
        <v>0</v>
      </c>
      <c r="D3" t="n">
        <v>6.5</v>
      </c>
      <c r="E3" t="n">
        <v>0.48</v>
      </c>
      <c r="G3" t="n">
        <v>0</v>
      </c>
      <c r="H3" t="n">
        <v>0.29</v>
      </c>
      <c r="J3" t="n">
        <v>-6.5</v>
      </c>
      <c r="K3" t="n">
        <v>-0.51</v>
      </c>
      <c r="M3" t="n">
        <v>0</v>
      </c>
      <c r="N3" t="n">
        <v>-0.31</v>
      </c>
    </row>
    <row r="4">
      <c r="A4" t="n">
        <v>0.2</v>
      </c>
      <c r="B4" t="n">
        <v>0.005</v>
      </c>
      <c r="D4" t="n">
        <v>6</v>
      </c>
      <c r="E4" t="n">
        <v>0.48</v>
      </c>
      <c r="G4" t="n">
        <v>-0.5</v>
      </c>
      <c r="H4" t="n">
        <v>0.28</v>
      </c>
      <c r="J4" t="n">
        <v>-6</v>
      </c>
      <c r="K4" t="n">
        <v>-0.5</v>
      </c>
      <c r="M4" t="n">
        <v>0.5</v>
      </c>
      <c r="N4" t="n">
        <v>-0.3</v>
      </c>
    </row>
    <row r="5">
      <c r="A5" t="n">
        <v>0.4</v>
      </c>
      <c r="B5" t="n">
        <v>0.011</v>
      </c>
      <c r="D5" t="n">
        <v>5.5</v>
      </c>
      <c r="E5" t="n">
        <v>0.45</v>
      </c>
      <c r="G5" t="n">
        <v>-1</v>
      </c>
      <c r="H5" t="n">
        <v>0.24</v>
      </c>
      <c r="J5" t="n">
        <v>-5.5</v>
      </c>
      <c r="K5" t="n">
        <v>-0.49</v>
      </c>
      <c r="M5" t="n">
        <v>1</v>
      </c>
      <c r="N5" t="n">
        <v>-0.28</v>
      </c>
    </row>
    <row r="6">
      <c r="A6" t="n">
        <v>0.6</v>
      </c>
      <c r="B6" t="n">
        <v>0.018</v>
      </c>
      <c r="D6" t="n">
        <v>5</v>
      </c>
      <c r="E6" t="n">
        <v>0.42</v>
      </c>
      <c r="G6" t="n">
        <v>-1.5</v>
      </c>
      <c r="H6" t="n">
        <v>0.21</v>
      </c>
      <c r="J6" t="n">
        <v>-5</v>
      </c>
      <c r="K6" t="n">
        <v>-0.48</v>
      </c>
      <c r="M6" t="n">
        <v>1.5</v>
      </c>
      <c r="N6" t="n">
        <v>-0.25</v>
      </c>
    </row>
    <row r="7">
      <c r="A7" t="n">
        <v>0.8</v>
      </c>
      <c r="B7" t="n">
        <v>0.023</v>
      </c>
      <c r="D7" t="n">
        <v>4.5</v>
      </c>
      <c r="E7" t="n">
        <v>0.4</v>
      </c>
      <c r="G7" t="n">
        <v>-2</v>
      </c>
      <c r="H7" t="n">
        <v>0.2</v>
      </c>
      <c r="J7" t="n">
        <v>-4.5</v>
      </c>
      <c r="K7" t="n">
        <v>-0.47</v>
      </c>
      <c r="M7" t="n">
        <v>2</v>
      </c>
      <c r="N7" t="n">
        <v>-0.21</v>
      </c>
    </row>
    <row r="8">
      <c r="A8" t="n">
        <v>1</v>
      </c>
      <c r="B8" t="n">
        <v>0.031</v>
      </c>
      <c r="D8" t="n">
        <v>4</v>
      </c>
      <c r="E8" t="n">
        <v>0.39</v>
      </c>
      <c r="G8" t="n">
        <v>-2.5</v>
      </c>
      <c r="H8" t="n">
        <v>0.18</v>
      </c>
      <c r="J8" t="n">
        <v>-4</v>
      </c>
      <c r="K8" t="n">
        <v>-0.45</v>
      </c>
      <c r="M8" t="n">
        <v>2.5</v>
      </c>
      <c r="N8" t="n">
        <v>-0.2</v>
      </c>
    </row>
    <row r="9">
      <c r="A9" t="n">
        <v>1.5</v>
      </c>
      <c r="B9" t="n">
        <v>0.047</v>
      </c>
      <c r="D9" t="n">
        <v>3.5</v>
      </c>
      <c r="E9" t="n">
        <v>0.38</v>
      </c>
      <c r="G9" t="n">
        <v>-3</v>
      </c>
      <c r="H9" t="n">
        <v>0.11</v>
      </c>
      <c r="J9" t="n">
        <v>-3.5</v>
      </c>
      <c r="K9" t="n">
        <v>-0.43</v>
      </c>
      <c r="M9" t="n">
        <v>3</v>
      </c>
      <c r="N9" t="n">
        <v>-0.17</v>
      </c>
    </row>
    <row r="10">
      <c r="A10" t="n">
        <v>2</v>
      </c>
      <c r="B10" t="n">
        <v>0.065</v>
      </c>
      <c r="D10" t="n">
        <v>3</v>
      </c>
      <c r="E10" t="n">
        <v>0.38</v>
      </c>
      <c r="G10" t="n">
        <v>-3.5</v>
      </c>
      <c r="H10" t="n">
        <v>0.091</v>
      </c>
      <c r="J10" t="n">
        <v>-3</v>
      </c>
      <c r="K10" t="n">
        <v>-0.41</v>
      </c>
      <c r="M10" t="n">
        <v>3.5</v>
      </c>
      <c r="N10" t="n">
        <v>-0.1</v>
      </c>
    </row>
    <row r="11">
      <c r="A11" t="n">
        <v>2.5</v>
      </c>
      <c r="B11" t="n">
        <v>0.082</v>
      </c>
      <c r="D11" t="n">
        <v>2.5</v>
      </c>
      <c r="E11" t="n">
        <v>0.37</v>
      </c>
      <c r="G11" t="n">
        <v>-4</v>
      </c>
      <c r="H11" t="n">
        <v>0.002</v>
      </c>
      <c r="J11" t="n">
        <v>-2.5</v>
      </c>
      <c r="K11" t="n">
        <v>-0.4</v>
      </c>
      <c r="M11" t="n">
        <v>4</v>
      </c>
      <c r="N11" t="n">
        <v>-0.01</v>
      </c>
    </row>
    <row r="12">
      <c r="A12" t="n">
        <v>3</v>
      </c>
      <c r="B12" t="n">
        <v>0.092</v>
      </c>
      <c r="D12" t="n">
        <v>2</v>
      </c>
      <c r="E12" t="n">
        <v>0.36</v>
      </c>
      <c r="G12" t="n">
        <v>-4.5</v>
      </c>
      <c r="H12" t="n">
        <v>-0.07099999999999999</v>
      </c>
      <c r="J12" t="n">
        <v>-2</v>
      </c>
      <c r="K12" t="n">
        <v>-0.39</v>
      </c>
      <c r="M12" t="n">
        <v>4.5</v>
      </c>
      <c r="N12" t="n">
        <v>0.097</v>
      </c>
    </row>
    <row r="13">
      <c r="A13" t="n">
        <v>3.5</v>
      </c>
      <c r="B13" t="n">
        <v>0.1</v>
      </c>
      <c r="D13" t="n">
        <v>1.5</v>
      </c>
      <c r="E13" t="n">
        <v>0.34</v>
      </c>
      <c r="G13" t="n">
        <v>-5</v>
      </c>
      <c r="H13" t="n">
        <v>-0.21</v>
      </c>
      <c r="J13" t="n">
        <v>-1.5</v>
      </c>
      <c r="K13" t="n">
        <v>-0.38</v>
      </c>
      <c r="M13" t="n">
        <v>5</v>
      </c>
      <c r="N13" t="n">
        <v>0.2</v>
      </c>
    </row>
    <row r="14">
      <c r="A14" t="n">
        <v>4</v>
      </c>
      <c r="B14" t="n">
        <v>0.11</v>
      </c>
      <c r="D14" t="n">
        <v>1</v>
      </c>
      <c r="E14" t="n">
        <v>0.31</v>
      </c>
      <c r="G14" t="n">
        <v>-5.5</v>
      </c>
      <c r="H14" t="n">
        <v>-0.31</v>
      </c>
      <c r="J14" t="n">
        <v>-1</v>
      </c>
      <c r="K14" t="n">
        <v>-0.35</v>
      </c>
      <c r="M14" t="n">
        <v>5.5</v>
      </c>
      <c r="N14" t="n">
        <v>0.28</v>
      </c>
    </row>
    <row r="15">
      <c r="A15" t="n">
        <v>4.5</v>
      </c>
      <c r="B15" t="n">
        <v>0.16</v>
      </c>
      <c r="D15" t="n">
        <v>0.5</v>
      </c>
      <c r="E15" t="n">
        <v>0.3</v>
      </c>
      <c r="G15" t="n">
        <v>-6</v>
      </c>
      <c r="H15" t="n">
        <v>-0.42</v>
      </c>
      <c r="J15" t="n">
        <v>-0.5</v>
      </c>
      <c r="K15" t="n">
        <v>-0.33</v>
      </c>
      <c r="M15" t="n">
        <v>6</v>
      </c>
      <c r="N15" t="n">
        <v>0.38</v>
      </c>
    </row>
    <row r="16">
      <c r="A16" t="n">
        <v>5</v>
      </c>
      <c r="B16" t="n">
        <v>0.21</v>
      </c>
      <c r="D16" t="n">
        <v>0</v>
      </c>
      <c r="E16" t="n">
        <v>0.29</v>
      </c>
      <c r="G16" t="n">
        <v>-6.5</v>
      </c>
      <c r="H16" t="n">
        <v>-0.51</v>
      </c>
      <c r="J16" t="n">
        <v>0</v>
      </c>
      <c r="K16" t="n">
        <v>-0.31</v>
      </c>
      <c r="M16" t="n">
        <v>6.5</v>
      </c>
      <c r="N16" t="n">
        <v>0.49</v>
      </c>
    </row>
    <row r="17">
      <c r="A17" t="n">
        <v>5.5</v>
      </c>
      <c r="B17" t="n">
        <v>0.28</v>
      </c>
    </row>
    <row r="18">
      <c r="A18" t="n">
        <v>6</v>
      </c>
      <c r="B18" t="n">
        <v>0.38</v>
      </c>
    </row>
    <row r="19">
      <c r="A19" t="n">
        <v>6.5</v>
      </c>
      <c r="B19" t="n">
        <v>0.48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(ⅰ) N 増加</t>
        </is>
      </c>
      <c r="D1" t="inlineStr">
        <is>
          <t>(ⅱ) N 減少</t>
        </is>
      </c>
      <c r="G1" t="inlineStr">
        <is>
          <t>(ⅲ) S 増加</t>
        </is>
      </c>
      <c r="J1" t="inlineStr">
        <is>
          <t>(ⅳ) S 減少</t>
        </is>
      </c>
      <c r="M1" t="inlineStr">
        <is>
          <t>(ⅴ) N 再び増加</t>
        </is>
      </c>
    </row>
    <row r="2">
      <c r="A2" t="inlineStr">
        <is>
          <t>磁界 H [A/m]</t>
        </is>
      </c>
      <c r="B2" t="inlineStr">
        <is>
          <t>B [T]</t>
        </is>
      </c>
      <c r="D2" t="inlineStr">
        <is>
          <t>磁界 H [A/m]</t>
        </is>
      </c>
      <c r="E2" t="inlineStr">
        <is>
          <t>B [T]</t>
        </is>
      </c>
      <c r="G2" t="inlineStr">
        <is>
          <t>磁界 H [A/m]</t>
        </is>
      </c>
      <c r="H2" t="inlineStr">
        <is>
          <t>B [T]</t>
        </is>
      </c>
      <c r="J2" t="inlineStr">
        <is>
          <t>磁界 H [A/m]</t>
        </is>
      </c>
      <c r="K2" t="inlineStr">
        <is>
          <t>B [T]</t>
        </is>
      </c>
      <c r="M2" t="inlineStr">
        <is>
          <t>磁界 H [A/m]</t>
        </is>
      </c>
      <c r="N2" t="inlineStr">
        <is>
          <t>B [T]</t>
        </is>
      </c>
    </row>
    <row r="3">
      <c r="A3" t="n">
        <v>0</v>
      </c>
      <c r="B3" t="n">
        <v>0</v>
      </c>
      <c r="D3" t="n">
        <v>57845.75153415532</v>
      </c>
      <c r="E3" t="n">
        <v>0.48</v>
      </c>
      <c r="G3" t="n">
        <v>0</v>
      </c>
      <c r="H3" t="n">
        <v>0.29</v>
      </c>
      <c r="J3" t="n">
        <v>-57845.75153415532</v>
      </c>
      <c r="K3" t="n">
        <v>-0.51</v>
      </c>
      <c r="M3" t="n">
        <v>0</v>
      </c>
      <c r="N3" t="n">
        <v>-0.31</v>
      </c>
    </row>
    <row r="4">
      <c r="A4" t="n">
        <v>1779.86927797401</v>
      </c>
      <c r="B4" t="n">
        <v>0.005</v>
      </c>
      <c r="D4" t="n">
        <v>53396.07833922029</v>
      </c>
      <c r="E4" t="n">
        <v>0.48</v>
      </c>
      <c r="G4" t="n">
        <v>-4449.673194935024</v>
      </c>
      <c r="H4" t="n">
        <v>0.28</v>
      </c>
      <c r="J4" t="n">
        <v>-53396.07833922029</v>
      </c>
      <c r="K4" t="n">
        <v>-0.5</v>
      </c>
      <c r="M4" t="n">
        <v>4449.673194935024</v>
      </c>
      <c r="N4" t="n">
        <v>-0.3</v>
      </c>
    </row>
    <row r="5">
      <c r="A5" t="n">
        <v>3559.738555948019</v>
      </c>
      <c r="B5" t="n">
        <v>0.011</v>
      </c>
      <c r="D5" t="n">
        <v>48946.40514428527</v>
      </c>
      <c r="E5" t="n">
        <v>0.45</v>
      </c>
      <c r="G5" t="n">
        <v>-8899.346389870048</v>
      </c>
      <c r="H5" t="n">
        <v>0.24</v>
      </c>
      <c r="J5" t="n">
        <v>-48946.40514428527</v>
      </c>
      <c r="K5" t="n">
        <v>-0.49</v>
      </c>
      <c r="M5" t="n">
        <v>8899.346389870048</v>
      </c>
      <c r="N5" t="n">
        <v>-0.28</v>
      </c>
    </row>
    <row r="6">
      <c r="A6" t="n">
        <v>5339.607833922028</v>
      </c>
      <c r="B6" t="n">
        <v>0.018</v>
      </c>
      <c r="D6" t="n">
        <v>44496.73194935024</v>
      </c>
      <c r="E6" t="n">
        <v>0.42</v>
      </c>
      <c r="G6" t="n">
        <v>-13349.01958480507</v>
      </c>
      <c r="H6" t="n">
        <v>0.21</v>
      </c>
      <c r="J6" t="n">
        <v>-44496.73194935024</v>
      </c>
      <c r="K6" t="n">
        <v>-0.48</v>
      </c>
      <c r="M6" t="n">
        <v>13349.01958480507</v>
      </c>
      <c r="N6" t="n">
        <v>-0.25</v>
      </c>
    </row>
    <row r="7">
      <c r="A7" t="n">
        <v>7119.477111896039</v>
      </c>
      <c r="B7" t="n">
        <v>0.023</v>
      </c>
      <c r="D7" t="n">
        <v>40047.05875441521</v>
      </c>
      <c r="E7" t="n">
        <v>0.4</v>
      </c>
      <c r="G7" t="n">
        <v>-17798.6927797401</v>
      </c>
      <c r="H7" t="n">
        <v>0.2</v>
      </c>
      <c r="J7" t="n">
        <v>-40047.05875441521</v>
      </c>
      <c r="K7" t="n">
        <v>-0.47</v>
      </c>
      <c r="M7" t="n">
        <v>17798.6927797401</v>
      </c>
      <c r="N7" t="n">
        <v>-0.21</v>
      </c>
    </row>
    <row r="8">
      <c r="A8" t="n">
        <v>8899.346389870048</v>
      </c>
      <c r="B8" t="n">
        <v>0.031</v>
      </c>
      <c r="D8" t="n">
        <v>35597.38555948019</v>
      </c>
      <c r="E8" t="n">
        <v>0.39</v>
      </c>
      <c r="G8" t="n">
        <v>-22248.36597467512</v>
      </c>
      <c r="H8" t="n">
        <v>0.18</v>
      </c>
      <c r="J8" t="n">
        <v>-35597.38555948019</v>
      </c>
      <c r="K8" t="n">
        <v>-0.45</v>
      </c>
      <c r="M8" t="n">
        <v>22248.36597467512</v>
      </c>
      <c r="N8" t="n">
        <v>-0.2</v>
      </c>
    </row>
    <row r="9">
      <c r="A9" t="n">
        <v>13349.01958480507</v>
      </c>
      <c r="B9" t="n">
        <v>0.047</v>
      </c>
      <c r="D9" t="n">
        <v>31147.71236454517</v>
      </c>
      <c r="E9" t="n">
        <v>0.38</v>
      </c>
      <c r="G9" t="n">
        <v>-26698.03916961014</v>
      </c>
      <c r="H9" t="n">
        <v>0.11</v>
      </c>
      <c r="J9" t="n">
        <v>-31147.71236454517</v>
      </c>
      <c r="K9" t="n">
        <v>-0.43</v>
      </c>
      <c r="M9" t="n">
        <v>26698.03916961014</v>
      </c>
      <c r="N9" t="n">
        <v>-0.17</v>
      </c>
    </row>
    <row r="10">
      <c r="A10" t="n">
        <v>17798.6927797401</v>
      </c>
      <c r="B10" t="n">
        <v>0.065</v>
      </c>
      <c r="D10" t="n">
        <v>26698.03916961014</v>
      </c>
      <c r="E10" t="n">
        <v>0.38</v>
      </c>
      <c r="G10" t="n">
        <v>-31147.71236454517</v>
      </c>
      <c r="H10" t="n">
        <v>0.091</v>
      </c>
      <c r="J10" t="n">
        <v>-26698.03916961014</v>
      </c>
      <c r="K10" t="n">
        <v>-0.41</v>
      </c>
      <c r="M10" t="n">
        <v>31147.71236454517</v>
      </c>
      <c r="N10" t="n">
        <v>-0.1</v>
      </c>
    </row>
    <row r="11">
      <c r="A11" t="n">
        <v>22248.36597467512</v>
      </c>
      <c r="B11" t="n">
        <v>0.082</v>
      </c>
      <c r="D11" t="n">
        <v>22248.36597467512</v>
      </c>
      <c r="E11" t="n">
        <v>0.37</v>
      </c>
      <c r="G11" t="n">
        <v>-35597.38555948019</v>
      </c>
      <c r="H11" t="n">
        <v>0.002</v>
      </c>
      <c r="J11" t="n">
        <v>-22248.36597467512</v>
      </c>
      <c r="K11" t="n">
        <v>-0.4</v>
      </c>
      <c r="M11" t="n">
        <v>35597.38555948019</v>
      </c>
      <c r="N11" t="n">
        <v>-0.01</v>
      </c>
    </row>
    <row r="12">
      <c r="A12" t="n">
        <v>26698.03916961014</v>
      </c>
      <c r="B12" t="n">
        <v>0.092</v>
      </c>
      <c r="D12" t="n">
        <v>17798.6927797401</v>
      </c>
      <c r="E12" t="n">
        <v>0.36</v>
      </c>
      <c r="G12" t="n">
        <v>-40047.05875441521</v>
      </c>
      <c r="H12" t="n">
        <v>-0.07099999999999999</v>
      </c>
      <c r="J12" t="n">
        <v>-17798.6927797401</v>
      </c>
      <c r="K12" t="n">
        <v>-0.39</v>
      </c>
      <c r="M12" t="n">
        <v>40047.05875441521</v>
      </c>
      <c r="N12" t="n">
        <v>0.097</v>
      </c>
    </row>
    <row r="13">
      <c r="A13" t="n">
        <v>31147.71236454517</v>
      </c>
      <c r="B13" t="n">
        <v>0.1</v>
      </c>
      <c r="D13" t="n">
        <v>13349.01958480507</v>
      </c>
      <c r="E13" t="n">
        <v>0.34</v>
      </c>
      <c r="G13" t="n">
        <v>-44496.73194935024</v>
      </c>
      <c r="H13" t="n">
        <v>-0.21</v>
      </c>
      <c r="J13" t="n">
        <v>-13349.01958480507</v>
      </c>
      <c r="K13" t="n">
        <v>-0.38</v>
      </c>
      <c r="M13" t="n">
        <v>44496.73194935024</v>
      </c>
      <c r="N13" t="n">
        <v>0.2</v>
      </c>
    </row>
    <row r="14">
      <c r="A14" t="n">
        <v>35597.38555948019</v>
      </c>
      <c r="B14" t="n">
        <v>0.11</v>
      </c>
      <c r="D14" t="n">
        <v>8899.346389870048</v>
      </c>
      <c r="E14" t="n">
        <v>0.31</v>
      </c>
      <c r="G14" t="n">
        <v>-48946.40514428527</v>
      </c>
      <c r="H14" t="n">
        <v>-0.31</v>
      </c>
      <c r="J14" t="n">
        <v>-8899.346389870048</v>
      </c>
      <c r="K14" t="n">
        <v>-0.35</v>
      </c>
      <c r="M14" t="n">
        <v>48946.40514428527</v>
      </c>
      <c r="N14" t="n">
        <v>0.28</v>
      </c>
    </row>
    <row r="15">
      <c r="A15" t="n">
        <v>40047.05875441521</v>
      </c>
      <c r="B15" t="n">
        <v>0.16</v>
      </c>
      <c r="D15" t="n">
        <v>4449.673194935024</v>
      </c>
      <c r="E15" t="n">
        <v>0.3</v>
      </c>
      <c r="G15" t="n">
        <v>-53396.07833922029</v>
      </c>
      <c r="H15" t="n">
        <v>-0.42</v>
      </c>
      <c r="J15" t="n">
        <v>-4449.673194935024</v>
      </c>
      <c r="K15" t="n">
        <v>-0.33</v>
      </c>
      <c r="M15" t="n">
        <v>53396.07833922029</v>
      </c>
      <c r="N15" t="n">
        <v>0.38</v>
      </c>
    </row>
    <row r="16">
      <c r="A16" t="n">
        <v>44496.73194935024</v>
      </c>
      <c r="B16" t="n">
        <v>0.21</v>
      </c>
      <c r="D16" t="n">
        <v>0</v>
      </c>
      <c r="E16" t="n">
        <v>0.29</v>
      </c>
      <c r="G16" t="n">
        <v>-57845.75153415532</v>
      </c>
      <c r="H16" t="n">
        <v>-0.51</v>
      </c>
      <c r="J16" t="n">
        <v>0</v>
      </c>
      <c r="K16" t="n">
        <v>-0.31</v>
      </c>
      <c r="M16" t="n">
        <v>57845.75153415532</v>
      </c>
      <c r="N16" t="n">
        <v>0.49</v>
      </c>
    </row>
    <row r="17">
      <c r="A17" t="n">
        <v>48946.40514428527</v>
      </c>
      <c r="B17" t="n">
        <v>0.28</v>
      </c>
    </row>
    <row r="18">
      <c r="A18" t="n">
        <v>53396.07833922029</v>
      </c>
      <c r="B18" t="n">
        <v>0.38</v>
      </c>
    </row>
    <row r="19">
      <c r="A19" t="n">
        <v>57845.75153415532</v>
      </c>
      <c r="B19" t="n">
        <v>0.48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(ⅰ) N 増加</t>
        </is>
      </c>
      <c r="D1" t="inlineStr">
        <is>
          <t>(ⅱ) N 減少</t>
        </is>
      </c>
      <c r="G1" t="inlineStr">
        <is>
          <t>(ⅲ) S 増加</t>
        </is>
      </c>
      <c r="J1" t="inlineStr">
        <is>
          <t>(ⅳ) S 減少</t>
        </is>
      </c>
      <c r="M1" t="inlineStr">
        <is>
          <t>(ⅴ) N 再び増加</t>
        </is>
      </c>
    </row>
    <row r="2">
      <c r="A2" t="inlineStr">
        <is>
          <t>励磁電流 I [A]</t>
        </is>
      </c>
      <c r="B2" t="inlineStr">
        <is>
          <t>B [T]</t>
        </is>
      </c>
      <c r="D2" t="inlineStr">
        <is>
          <t>励磁電流 I [A]</t>
        </is>
      </c>
      <c r="E2" t="inlineStr">
        <is>
          <t>B [T]</t>
        </is>
      </c>
      <c r="G2" t="inlineStr">
        <is>
          <t>励磁電流 I [A]</t>
        </is>
      </c>
      <c r="H2" t="inlineStr">
        <is>
          <t>B [T]</t>
        </is>
      </c>
      <c r="J2" t="inlineStr">
        <is>
          <t>励磁電流 I [A]</t>
        </is>
      </c>
      <c r="K2" t="inlineStr">
        <is>
          <t>B [T]</t>
        </is>
      </c>
      <c r="M2" t="inlineStr">
        <is>
          <t>励磁電流 I [A]</t>
        </is>
      </c>
      <c r="N2" t="inlineStr">
        <is>
          <t>B [T]</t>
        </is>
      </c>
    </row>
    <row r="3">
      <c r="A3" t="n">
        <v>0</v>
      </c>
      <c r="B3" t="n">
        <v>0</v>
      </c>
      <c r="D3" t="n">
        <v>5</v>
      </c>
      <c r="E3" t="n">
        <v>1.13</v>
      </c>
      <c r="G3" t="n">
        <v>0</v>
      </c>
      <c r="H3" t="n">
        <v>0.01</v>
      </c>
      <c r="J3" t="n">
        <v>-5</v>
      </c>
      <c r="K3" t="n">
        <v>-1.23</v>
      </c>
      <c r="M3" t="n">
        <v>0</v>
      </c>
      <c r="N3" t="n">
        <v>-0.05</v>
      </c>
    </row>
    <row r="4">
      <c r="A4" t="n">
        <v>0.2</v>
      </c>
      <c r="B4" t="n">
        <v>0.13</v>
      </c>
      <c r="D4" t="n">
        <v>4.5</v>
      </c>
      <c r="E4" t="n">
        <v>1.1</v>
      </c>
      <c r="G4" t="n">
        <v>-0.5</v>
      </c>
      <c r="H4" t="n">
        <v>-0.33</v>
      </c>
      <c r="J4" t="n">
        <v>-4.5</v>
      </c>
      <c r="K4" t="n">
        <v>-1.19</v>
      </c>
      <c r="M4" t="n">
        <v>0.5</v>
      </c>
      <c r="N4" t="n">
        <v>0.23</v>
      </c>
    </row>
    <row r="5">
      <c r="A5" t="n">
        <v>0.4</v>
      </c>
      <c r="B5" t="n">
        <v>0.3</v>
      </c>
      <c r="D5" t="n">
        <v>4</v>
      </c>
      <c r="E5" t="n">
        <v>1.08</v>
      </c>
      <c r="G5" t="n">
        <v>-1</v>
      </c>
      <c r="H5" t="n">
        <v>-0.57</v>
      </c>
      <c r="J5" t="n">
        <v>-4</v>
      </c>
      <c r="K5" t="n">
        <v>-1.11</v>
      </c>
      <c r="M5" t="n">
        <v>1</v>
      </c>
      <c r="N5" t="n">
        <v>0.52</v>
      </c>
    </row>
    <row r="6">
      <c r="A6" t="n">
        <v>0.6</v>
      </c>
      <c r="B6" t="n">
        <v>0.33</v>
      </c>
      <c r="D6" t="n">
        <v>3.5</v>
      </c>
      <c r="E6" t="n">
        <v>1</v>
      </c>
      <c r="G6" t="n">
        <v>-1.5</v>
      </c>
      <c r="H6" t="n">
        <v>-0.6899999999999999</v>
      </c>
      <c r="J6" t="n">
        <v>-3.5</v>
      </c>
      <c r="K6" t="n">
        <v>-1.05</v>
      </c>
      <c r="M6" t="n">
        <v>1.5</v>
      </c>
      <c r="N6" t="n">
        <v>0.67</v>
      </c>
    </row>
    <row r="7">
      <c r="A7" t="n">
        <v>0.8</v>
      </c>
      <c r="B7" t="n">
        <v>0.48</v>
      </c>
      <c r="D7" t="n">
        <v>3</v>
      </c>
      <c r="E7" t="n">
        <v>0.92</v>
      </c>
      <c r="G7" t="n">
        <v>-2</v>
      </c>
      <c r="H7" t="n">
        <v>-0.8</v>
      </c>
      <c r="J7" t="n">
        <v>-3</v>
      </c>
      <c r="K7" t="n">
        <v>-1</v>
      </c>
      <c r="M7" t="n">
        <v>2</v>
      </c>
      <c r="N7" t="n">
        <v>0.75</v>
      </c>
    </row>
    <row r="8">
      <c r="A8" t="n">
        <v>1</v>
      </c>
      <c r="B8" t="n">
        <v>0.51</v>
      </c>
      <c r="D8" t="n">
        <v>2.5</v>
      </c>
      <c r="E8" t="n">
        <v>0.88</v>
      </c>
      <c r="G8" t="n">
        <v>-2.5</v>
      </c>
      <c r="H8" t="n">
        <v>-0.87</v>
      </c>
      <c r="J8" t="n">
        <v>-2.5</v>
      </c>
      <c r="K8" t="n">
        <v>-0.92</v>
      </c>
      <c r="M8" t="n">
        <v>2.5</v>
      </c>
      <c r="N8" t="n">
        <v>0.83</v>
      </c>
    </row>
    <row r="9">
      <c r="A9" t="n">
        <v>1.5</v>
      </c>
      <c r="B9" t="n">
        <v>0.62</v>
      </c>
      <c r="D9" t="n">
        <v>2</v>
      </c>
      <c r="E9" t="n">
        <v>0.8</v>
      </c>
      <c r="G9" t="n">
        <v>-3</v>
      </c>
      <c r="H9" t="n">
        <v>-0.95</v>
      </c>
      <c r="J9" t="n">
        <v>-2</v>
      </c>
      <c r="K9" t="n">
        <v>-0.83</v>
      </c>
      <c r="M9" t="n">
        <v>3</v>
      </c>
      <c r="N9" t="n">
        <v>0.91</v>
      </c>
    </row>
    <row r="10">
      <c r="A10" t="n">
        <v>2</v>
      </c>
      <c r="B10" t="n">
        <v>0.73</v>
      </c>
      <c r="D10" t="n">
        <v>1.5</v>
      </c>
      <c r="E10" t="n">
        <v>0.7</v>
      </c>
      <c r="G10" t="n">
        <v>-3.5</v>
      </c>
      <c r="H10" t="n">
        <v>-1.02</v>
      </c>
      <c r="J10" t="n">
        <v>-1.5</v>
      </c>
      <c r="K10" t="n">
        <v>-0.72</v>
      </c>
      <c r="M10" t="n">
        <v>3.5</v>
      </c>
      <c r="N10" t="n">
        <v>0.99</v>
      </c>
    </row>
    <row r="11">
      <c r="A11" t="n">
        <v>2.5</v>
      </c>
      <c r="B11" t="n">
        <v>0.82</v>
      </c>
      <c r="D11" t="n">
        <v>1</v>
      </c>
      <c r="E11" t="n">
        <v>0.59</v>
      </c>
      <c r="G11" t="n">
        <v>-4</v>
      </c>
      <c r="H11" t="n">
        <v>-1.1</v>
      </c>
      <c r="J11" t="n">
        <v>-1</v>
      </c>
      <c r="K11" t="n">
        <v>-0.62</v>
      </c>
      <c r="M11" t="n">
        <v>4</v>
      </c>
      <c r="N11" t="n">
        <v>1.07</v>
      </c>
    </row>
    <row r="12">
      <c r="A12" t="n">
        <v>3</v>
      </c>
      <c r="B12" t="n">
        <v>0.9</v>
      </c>
      <c r="D12" t="n">
        <v>0.5</v>
      </c>
      <c r="E12" t="n">
        <v>0.42</v>
      </c>
      <c r="G12" t="n">
        <v>-4.5</v>
      </c>
      <c r="H12" t="n">
        <v>-1.13</v>
      </c>
      <c r="J12" t="n">
        <v>-0.5</v>
      </c>
      <c r="K12" t="n">
        <v>-0.43</v>
      </c>
      <c r="M12" t="n">
        <v>4.5</v>
      </c>
      <c r="N12" t="n">
        <v>1.12</v>
      </c>
    </row>
    <row r="13">
      <c r="A13" t="n">
        <v>3.5</v>
      </c>
      <c r="B13" t="n">
        <v>0.98</v>
      </c>
      <c r="D13" t="n">
        <v>0</v>
      </c>
      <c r="E13" t="n">
        <v>0.01</v>
      </c>
      <c r="G13" t="n">
        <v>-5</v>
      </c>
      <c r="H13" t="n">
        <v>-1.23</v>
      </c>
      <c r="J13" t="n">
        <v>0</v>
      </c>
      <c r="K13" t="n">
        <v>-0.05</v>
      </c>
      <c r="M13" t="n">
        <v>5</v>
      </c>
      <c r="N13" t="n">
        <v>1.2</v>
      </c>
    </row>
    <row r="14">
      <c r="A14" t="n">
        <v>4</v>
      </c>
      <c r="B14" t="n">
        <v>1.02</v>
      </c>
    </row>
    <row r="15">
      <c r="A15" t="n">
        <v>4.5</v>
      </c>
      <c r="B15" t="n">
        <v>1.09</v>
      </c>
    </row>
    <row r="16">
      <c r="A16" t="n">
        <v>5</v>
      </c>
      <c r="B16" t="n">
        <v>1.13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 [A/m]</t>
        </is>
      </c>
      <c r="B1" t="inlineStr">
        <is>
          <t>μ [H/m]</t>
        </is>
      </c>
    </row>
    <row r="2">
      <c r="A2" t="n">
        <v>1779.86927797401</v>
      </c>
      <c r="B2" t="n">
        <v>2.809195069478025e-06</v>
      </c>
    </row>
    <row r="3">
      <c r="A3" t="n">
        <v>3559.738555948019</v>
      </c>
      <c r="B3" t="n">
        <v>3.090114576425827e-06</v>
      </c>
    </row>
    <row r="4">
      <c r="A4" t="n">
        <v>5339.607833922028</v>
      </c>
      <c r="B4" t="n">
        <v>3.37103408337363e-06</v>
      </c>
    </row>
    <row r="5">
      <c r="A5" t="n">
        <v>7119.477111896039</v>
      </c>
      <c r="B5" t="n">
        <v>3.230574329899729e-06</v>
      </c>
    </row>
    <row r="6">
      <c r="A6" t="n">
        <v>8899.346389870048</v>
      </c>
      <c r="B6" t="n">
        <v>3.483401886152751e-06</v>
      </c>
    </row>
    <row r="7">
      <c r="A7" t="n">
        <v>13349.01958480507</v>
      </c>
      <c r="B7" t="n">
        <v>3.520857820412458e-06</v>
      </c>
    </row>
    <row r="8">
      <c r="A8" t="n">
        <v>17798.6927797401</v>
      </c>
      <c r="B8" t="n">
        <v>3.651953590321432e-06</v>
      </c>
    </row>
    <row r="9">
      <c r="A9" t="n">
        <v>22248.36597467512</v>
      </c>
      <c r="B9" t="n">
        <v>3.685663931155169e-06</v>
      </c>
    </row>
    <row r="10">
      <c r="A10" t="n">
        <v>26698.03916961014</v>
      </c>
      <c r="B10" t="n">
        <v>3.445945951893044e-06</v>
      </c>
    </row>
    <row r="11">
      <c r="A11" t="n">
        <v>31147.71236454517</v>
      </c>
      <c r="B11" t="n">
        <v>3.210508650832029e-06</v>
      </c>
    </row>
    <row r="12">
      <c r="A12" t="n">
        <v>35597.38555948019</v>
      </c>
      <c r="B12" t="n">
        <v>3.090114576425827e-06</v>
      </c>
    </row>
    <row r="13">
      <c r="A13" t="n">
        <v>40047.05875441521</v>
      </c>
      <c r="B13" t="n">
        <v>3.995299654368747e-06</v>
      </c>
    </row>
    <row r="14">
      <c r="A14" t="n">
        <v>44496.73194935024</v>
      </c>
      <c r="B14" t="n">
        <v>4.719447716723081e-06</v>
      </c>
    </row>
    <row r="15">
      <c r="A15" t="n">
        <v>48946.40514428527</v>
      </c>
      <c r="B15" t="n">
        <v>5.72054268693707e-06</v>
      </c>
    </row>
    <row r="16">
      <c r="A16" t="n">
        <v>53396.07833922029</v>
      </c>
      <c r="B16" t="n">
        <v>7.11662750934433e-06</v>
      </c>
    </row>
    <row r="17">
      <c r="A17" t="n">
        <v>57845.75153415532</v>
      </c>
      <c r="B17" t="n">
        <v>8.297930051381242e-06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[mm]</t>
        </is>
      </c>
      <c r="B1" t="inlineStr">
        <is>
          <t>V [V]</t>
        </is>
      </c>
    </row>
    <row r="2">
      <c r="A2" t="n">
        <v>0</v>
      </c>
      <c r="B2" t="n">
        <v>1</v>
      </c>
    </row>
    <row r="3">
      <c r="A3" t="n">
        <v>43.7</v>
      </c>
      <c r="B3" t="n">
        <v>0.6</v>
      </c>
    </row>
    <row r="4">
      <c r="A4" t="n">
        <v>86.90000000000001</v>
      </c>
      <c r="B4" t="n">
        <v>0.3</v>
      </c>
    </row>
    <row r="5">
      <c r="A5" t="n">
        <v>126.1</v>
      </c>
      <c r="B5" t="n">
        <v>0</v>
      </c>
    </row>
    <row r="6">
      <c r="A6" t="n">
        <v>167.1</v>
      </c>
      <c r="B6" t="n">
        <v>-0.3</v>
      </c>
    </row>
    <row r="7">
      <c r="A7" t="n">
        <v>205.8</v>
      </c>
      <c r="B7" t="n">
        <v>-0.6</v>
      </c>
    </row>
    <row r="8">
      <c r="A8" t="n">
        <v>245.2</v>
      </c>
      <c r="B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2026-10-22T08:50:12Z</dcterms:created>
  <dcterms:modified xmlns:dcterms="http://purl.org/dc/terms/" xmlns:xsi="http://www.w3.org/2001/XMLSchema-instance" xsi:type="dcterms:W3CDTF">2026-10-22T08:50:12Z</dcterms:modified>
</cp:coreProperties>
</file>