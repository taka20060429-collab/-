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A-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roundedCorners val="0"/>
  <style val="2"/>
  <chart>
    <autoTitleDeleted val="1"/>
    <plotArea>
      <scatterChart>
        <ser>
          <idx val="0"/>
          <order val="0"/>
          <tx>
            <v>レンズの公式</v>
          </tx>
          <spPr>
            <a:ln xmlns:a="http://schemas.openxmlformats.org/drawingml/2006/main" w="28575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'図A-4'!$L$5:$L$6</f>
            </numRef>
          </xVal>
          <yVal>
            <numRef>
              <f>'図A-4'!$M$5:$M$6</f>
            </numRef>
          </yVal>
        </ser>
        <ser>
          <idx val="1"/>
          <order val="1"/>
          <tx>
            <v>測定値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4472C4"/>
              </a:solidFill>
              <a:ln xmlns:a="http://schemas.openxmlformats.org/drawingml/2006/main" w="9525">
                <a:solidFill>
                  <a:srgbClr val="4472C4"/>
                </a:solidFill>
                <a:prstDash val="solid"/>
              </a:ln>
            </spPr>
          </marker>
          <xVal>
            <numRef>
              <f>'図A-4'!$H$2:$H$5</f>
            </numRef>
          </xVal>
          <yVal>
            <numRef>
              <f>'図A-4'!$I$2:$I$5</f>
            </numRef>
          </yVal>
        </ser>
        <axId val="10"/>
        <axId val="20"/>
      </scatterChart>
      <valAx>
        <axId val="10"/>
        <scaling>
          <orientation val="minMax"/>
          <max val="0.0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1/a [cm⁻¹]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20"/>
        <majorUnit val="0.005"/>
      </valAx>
      <valAx>
        <axId val="20"/>
        <scaling>
          <orientation val="minMax"/>
          <max val="0.05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1/b [cm⁻¹]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 w="9525">
            <a:solidFill>
              <a:srgbClr val="D9D9D9"/>
            </a:solidFill>
            <a:prstDash val="solid"/>
          </a:ln>
        </spPr>
        <crossAx val="10"/>
        <majorUnit val="0.005"/>
      </valAx>
    </plotArea>
    <legend>
      <legendPos val="b"/>
      <overlay val="0"/>
    </legend>
    <plotVisOnly val="1"/>
    <dispBlanksAs val="gap"/>
  </chart>
  <spPr>
    <a:ln xmlns:a="http://schemas.openxmlformats.org/drawingml/2006/main">
      <a:noFill/>
      <a:prstDash val="solid"/>
    </a:ln>
  </spPr>
  <txPr xmlns:a="http://schemas.openxmlformats.org/drawingml/2006/main">
    <a:bodyPr/>
    <a:lstStyle/>
    <a:p>
      <a:pPr>
        <a:defRPr sz="900">
          <a:solidFill>
            <a:srgbClr val="595959"/>
          </a:solidFill>
          <a:latin typeface="游ゴシック"/>
          <a:ea typeface="游ゴシック"/>
        </a:defRPr>
      </a:pPr>
      <a:endParaRPr lang="ja-JP"/>
    </a:p>
  </tx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2" customWidth="1" min="11" max="11"/>
    <col width="18" customWidth="1" min="12" max="12"/>
    <col width="10" customWidth="1" min="13" max="13"/>
  </cols>
  <sheetData>
    <row r="1">
      <c r="A1" s="1" t="inlineStr">
        <is>
          <t>回</t>
        </is>
      </c>
      <c r="B1" s="1" t="inlineStr">
        <is>
          <t>x1 [cm]</t>
        </is>
      </c>
      <c r="C1" s="1" t="inlineStr">
        <is>
          <t>x2 [cm]</t>
        </is>
      </c>
      <c r="D1" s="1" t="inlineStr">
        <is>
          <t>x3 [cm]</t>
        </is>
      </c>
      <c r="E1" s="1" t="inlineStr">
        <is>
          <t>x4 [cm]</t>
        </is>
      </c>
      <c r="F1" s="1" t="inlineStr">
        <is>
          <t>a [cm]</t>
        </is>
      </c>
      <c r="G1" s="1" t="inlineStr">
        <is>
          <t>b [cm]</t>
        </is>
      </c>
      <c r="H1" s="1" t="inlineStr">
        <is>
          <t>1/a [cm⁻¹]</t>
        </is>
      </c>
      <c r="I1" s="1" t="inlineStr">
        <is>
          <t>1/b [cm⁻¹]</t>
        </is>
      </c>
      <c r="J1" s="1" t="inlineStr">
        <is>
          <t>f [cm]</t>
        </is>
      </c>
      <c r="K1" s="1" t="n"/>
      <c r="L1" s="1" t="inlineStr">
        <is>
          <t>レンズの厚さ t [cm]</t>
        </is>
      </c>
      <c r="M1" s="2" t="n">
        <v>0.495</v>
      </c>
    </row>
    <row r="2">
      <c r="A2" t="n">
        <v>1</v>
      </c>
      <c r="B2" t="n">
        <v>22.37</v>
      </c>
      <c r="C2" t="n">
        <v>41.6</v>
      </c>
      <c r="D2" t="n">
        <v>62.62</v>
      </c>
      <c r="E2" t="n">
        <v>104.62</v>
      </c>
      <c r="F2" s="3">
        <f>ABS(D2-B2)-$M$1/2</f>
        <v/>
      </c>
      <c r="G2" s="3">
        <f>ABS(E2-C2)-$M$1/2</f>
        <v/>
      </c>
      <c r="H2" s="4">
        <f>1/F2</f>
        <v/>
      </c>
      <c r="I2" s="4">
        <f>1/G2</f>
        <v/>
      </c>
      <c r="J2" s="3">
        <f>1/(H2+I2)</f>
        <v/>
      </c>
      <c r="K2" s="3" t="n"/>
      <c r="L2" s="4" t="n"/>
      <c r="M2" s="4" t="n"/>
    </row>
    <row r="3">
      <c r="A3" t="n">
        <v>2</v>
      </c>
      <c r="B3" t="n">
        <v>22.555</v>
      </c>
      <c r="C3" t="n">
        <v>32</v>
      </c>
      <c r="D3" t="n">
        <v>53.3</v>
      </c>
      <c r="E3" t="n">
        <v>153.81</v>
      </c>
      <c r="F3" s="3">
        <f>ABS(D3-B3)-$M$1/2</f>
        <v/>
      </c>
      <c r="G3" s="3">
        <f>ABS(E3-C3)-$M$1/2</f>
        <v/>
      </c>
      <c r="H3" s="4">
        <f>1/F3</f>
        <v/>
      </c>
      <c r="I3" s="4">
        <f>1/G3</f>
        <v/>
      </c>
      <c r="J3" s="3">
        <f>1/(H3+I3)</f>
        <v/>
      </c>
      <c r="K3" s="3" t="n"/>
      <c r="L3" s="4" t="inlineStr">
        <is>
          <t>公式の直線用（2点）</t>
        </is>
      </c>
      <c r="M3" s="4" t="n"/>
    </row>
    <row r="4">
      <c r="A4" t="n">
        <v>3</v>
      </c>
      <c r="B4" t="n">
        <v>22.4</v>
      </c>
      <c r="C4" t="n">
        <v>55.31</v>
      </c>
      <c r="D4" t="n">
        <v>76.705</v>
      </c>
      <c r="E4" t="n">
        <v>102</v>
      </c>
      <c r="F4" s="3">
        <f>ABS(D4-B4)-$M$1/2</f>
        <v/>
      </c>
      <c r="G4" s="3">
        <f>ABS(E4-C4)-$M$1/2</f>
        <v/>
      </c>
      <c r="H4" s="4">
        <f>1/F4</f>
        <v/>
      </c>
      <c r="I4" s="4">
        <f>1/G4</f>
        <v/>
      </c>
      <c r="J4" s="3">
        <f>1/(H4+I4)</f>
        <v/>
      </c>
      <c r="K4" s="3" t="n"/>
      <c r="L4" s="4" t="inlineStr">
        <is>
          <t>1/a</t>
        </is>
      </c>
      <c r="M4" s="4" t="inlineStr">
        <is>
          <t>1/b</t>
        </is>
      </c>
    </row>
    <row r="5">
      <c r="A5" t="n">
        <v>4</v>
      </c>
      <c r="B5" t="n">
        <v>22.43</v>
      </c>
      <c r="C5" t="n">
        <v>81.015</v>
      </c>
      <c r="D5" t="n">
        <v>102.34</v>
      </c>
      <c r="E5" t="n">
        <v>116.2</v>
      </c>
      <c r="F5" s="3">
        <f>ABS(D5-B5)-$M$1/2</f>
        <v/>
      </c>
      <c r="G5" s="3">
        <f>ABS(E5-C5)-$M$1/2</f>
        <v/>
      </c>
      <c r="H5" s="4">
        <f>1/F5</f>
        <v/>
      </c>
      <c r="I5" s="4">
        <f>1/G5</f>
        <v/>
      </c>
      <c r="J5" s="3">
        <f>1/(H5+I5)</f>
        <v/>
      </c>
      <c r="K5" s="3" t="n"/>
      <c r="L5" s="4" t="n">
        <v>0</v>
      </c>
      <c r="M5" s="4">
        <f>1/$J$7</f>
        <v/>
      </c>
    </row>
    <row r="6">
      <c r="F6" s="3" t="n"/>
      <c r="G6" s="3" t="n"/>
      <c r="H6" s="4" t="n"/>
      <c r="I6" s="4" t="n"/>
      <c r="J6" s="3" t="n"/>
      <c r="K6" s="3" t="n"/>
      <c r="L6" s="4">
        <f>1/$J$7</f>
        <v/>
      </c>
      <c r="M6" s="4" t="n">
        <v>0</v>
      </c>
    </row>
    <row r="7">
      <c r="F7" s="3" t="n"/>
      <c r="G7" s="3" t="n"/>
      <c r="H7" s="4" t="n"/>
      <c r="I7" s="4" t="inlineStr">
        <is>
          <t>f の平均</t>
        </is>
      </c>
      <c r="J7" s="3">
        <f>AVERAGE(J2:J5)</f>
        <v/>
      </c>
      <c r="K7" s="3" t="n"/>
      <c r="L7" s="4" t="n"/>
      <c r="M7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2026-10-08T06:52:36Z</dcterms:created>
  <dcterms:modified xmlns:dcterms="http://purl.org/dc/terms/" xmlns:xsi="http://www.w3.org/2001/XMLSchema-instance" xsi:type="dcterms:W3CDTF">2026-10-08T06:52:36Z</dcterms:modified>
</cp:coreProperties>
</file>