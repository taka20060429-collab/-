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測定データ" sheetId="1" state="visible" r:id="rId1"/>
    <sheet xmlns:r="http://schemas.openxmlformats.org/officeDocument/2006/relationships" name="冷却_Sn" sheetId="2" state="visible" r:id="rId2"/>
    <sheet xmlns:r="http://schemas.openxmlformats.org/officeDocument/2006/relationships" name="冷却_Pb" sheetId="3" state="visible" r:id="rId3"/>
    <sheet xmlns:r="http://schemas.openxmlformats.org/officeDocument/2006/relationships" name="冷却_Zn" sheetId="4" state="visible" r:id="rId4"/>
    <sheet xmlns:r="http://schemas.openxmlformats.org/officeDocument/2006/relationships" name="最小二乗法" sheetId="5" state="visible" r:id="rId5"/>
    <sheet xmlns:r="http://schemas.openxmlformats.org/officeDocument/2006/relationships" name="規格との比較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"/>
    <numFmt numFmtId="166" formatCode="0.000E+00"/>
    <numFmt numFmtId="167" formatCode="0.000000E+00"/>
    <numFmt numFmtId="168" formatCode="+0.000;-0.000"/>
    <numFmt numFmtId="169" formatCode="+0.0;-0.0"/>
  </numFmts>
  <fonts count="4">
    <font>
      <name val="Calibri"/>
      <family val="2"/>
      <color theme="1"/>
      <sz val="11"/>
      <scheme val="minor"/>
    </font>
    <font>
      <name val="游ゴシック"/>
    </font>
    <font>
      <name val="游ゴシック"/>
      <b val="1"/>
    </font>
    <font>
      <name val="游ゴシック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wrapText="1"/>
    </xf>
    <xf numFmtId="1" fontId="1" fillId="0" borderId="1" pivotButton="0" quotePrefix="0" xfId="0"/>
    <xf numFmtId="164" fontId="1" fillId="0" borderId="1" pivotButton="0" quotePrefix="0" xfId="0"/>
    <xf numFmtId="0" fontId="1" fillId="0" borderId="1" pivotButton="0" quotePrefix="0" xfId="0"/>
    <xf numFmtId="165" fontId="1" fillId="0" borderId="1" pivotButton="0" quotePrefix="0" xfId="0"/>
    <xf numFmtId="0" fontId="3" fillId="0" borderId="0" pivotButton="0" quotePrefix="0" xfId="0"/>
    <xf numFmtId="2" fontId="1" fillId="0" borderId="1" pivotButton="0" quotePrefix="0" xfId="0"/>
    <xf numFmtId="166" fontId="1" fillId="0" borderId="1" pivotButton="0" quotePrefix="0" xfId="0"/>
    <xf numFmtId="167" fontId="1" fillId="0" borderId="1" pivotButton="0" quotePrefix="0" xfId="0"/>
    <xf numFmtId="168" fontId="1" fillId="0" borderId="1" pivotButton="0" quotePrefix="0" xfId="0"/>
    <xf numFmtId="169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roundedCorners val="0"/>
  <style val="2"/>
  <chart>
    <autoTitleDeleted val="1"/>
    <plotArea>
      <scatterChart>
        <ser>
          <idx val="0"/>
          <order val="0"/>
          <tx>
            <v>測定値</v>
          </tx>
          <spPr>
            <a:ln xmlns:a="http://schemas.openxmlformats.org/drawingml/2006/main" w="28575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 w="9525">
                <a:solidFill>
                  <a:srgbClr val="4472C4"/>
                </a:solidFill>
                <a:prstDash val="solid"/>
              </a:ln>
            </spPr>
          </marker>
          <xVal>
            <numRef>
              <f>'冷却_Sn'!$A$4:$A$93</f>
            </numRef>
          </xVal>
          <yVal>
            <numRef>
              <f>'冷却_Sn'!$B$4:$B$93</f>
            </numRef>
          </yVal>
        </ser>
        <ser>
          <idx val="1"/>
          <order val="1"/>
          <tx>
            <v>融点とみなした区間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 w="9525">
                <a:solidFill>
                  <a:srgbClr val="ED7D31"/>
                </a:solidFill>
                <a:prstDash val="solid"/>
              </a:ln>
            </spPr>
          </marker>
          <xVal>
            <numRef>
              <f>'冷却_Sn'!$A$4:$A$93</f>
            </numRef>
          </xVal>
          <yVal>
            <numRef>
              <f>'冷却_Sn'!$C$4:$C$93</f>
            </numRef>
          </yVal>
        </ser>
        <ser>
          <idx val="2"/>
          <order val="2"/>
          <tx>
            <v>平均値 9.252 mV</v>
          </tx>
          <spPr>
            <a:ln xmlns:a="http://schemas.openxmlformats.org/drawingml/2006/main" w="19050">
              <a:solidFill>
                <a:srgbClr val="A5A5A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'冷却_Sn'!$E$13:$E$14</f>
            </numRef>
          </xVal>
          <yVal>
            <numRef>
              <f>'冷却_Sn'!$F$13:$F$14</f>
            </numRef>
          </yVal>
        </ser>
        <axId val="10"/>
        <axId val="20"/>
      </scatterChart>
      <valAx>
        <axId val="10"/>
        <scaling>
          <orientation val="minMax"/>
          <max val="1400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時間 [s]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20"/>
        <majorUnit val="200"/>
      </valAx>
      <valAx>
        <axId val="20"/>
        <scaling>
          <orientation val="minMax"/>
          <max val="13.5"/>
          <min val="8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熱起電力 [mV]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10"/>
        <majorUnit val="1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  <txPr xmlns:a="http://schemas.openxmlformats.org/drawingml/2006/main">
    <a:bodyPr/>
    <a:lstStyle/>
    <a:p>
      <a:pPr>
        <a:defRPr sz="900">
          <a:solidFill>
            <a:srgbClr val="595959"/>
          </a:solidFill>
          <a:latin typeface="游ゴシック"/>
          <a:ea typeface="游ゴシック"/>
        </a:defRPr>
      </a:pPr>
      <a:endParaRPr lang="ja-JP"/>
    </a:p>
  </txPr>
</chartSpace>
</file>

<file path=xl/charts/chart2.xml><?xml version="1.0" encoding="utf-8"?>
<chartSpace xmlns="http://schemas.openxmlformats.org/drawingml/2006/chart">
  <roundedCorners val="0"/>
  <style val="2"/>
  <chart>
    <autoTitleDeleted val="1"/>
    <plotArea>
      <scatterChart>
        <ser>
          <idx val="0"/>
          <order val="0"/>
          <tx>
            <v>測定値</v>
          </tx>
          <spPr>
            <a:ln xmlns:a="http://schemas.openxmlformats.org/drawingml/2006/main" w="28575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 w="9525">
                <a:solidFill>
                  <a:srgbClr val="4472C4"/>
                </a:solidFill>
                <a:prstDash val="solid"/>
              </a:ln>
            </spPr>
          </marker>
          <xVal>
            <numRef>
              <f>'冷却_Pb'!$A$4:$A$42</f>
            </numRef>
          </xVal>
          <yVal>
            <numRef>
              <f>'冷却_Pb'!$B$4:$B$42</f>
            </numRef>
          </yVal>
        </ser>
        <ser>
          <idx val="1"/>
          <order val="1"/>
          <tx>
            <v>融点とみなした区間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 w="9525">
                <a:solidFill>
                  <a:srgbClr val="ED7D31"/>
                </a:solidFill>
                <a:prstDash val="solid"/>
              </a:ln>
            </spPr>
          </marker>
          <xVal>
            <numRef>
              <f>'冷却_Pb'!$A$4:$A$42</f>
            </numRef>
          </xVal>
          <yVal>
            <numRef>
              <f>'冷却_Pb'!$C$4:$C$42</f>
            </numRef>
          </yVal>
        </ser>
        <ser>
          <idx val="2"/>
          <order val="2"/>
          <tx>
            <v>平均値 13.136 mV</v>
          </tx>
          <spPr>
            <a:ln xmlns:a="http://schemas.openxmlformats.org/drawingml/2006/main" w="19050">
              <a:solidFill>
                <a:srgbClr val="A5A5A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'冷却_Pb'!$E$13:$E$14</f>
            </numRef>
          </xVal>
          <yVal>
            <numRef>
              <f>'冷却_Pb'!$F$13:$F$14</f>
            </numRef>
          </yVal>
        </ser>
        <axId val="10"/>
        <axId val="20"/>
      </scatterChart>
      <valAx>
        <axId val="10"/>
        <scaling>
          <orientation val="minMax"/>
          <max val="600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時間 [s]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20"/>
        <majorUnit val="100"/>
      </valAx>
      <valAx>
        <axId val="20"/>
        <scaling>
          <orientation val="minMax"/>
          <max val="15.5"/>
          <min val="11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熱起電力 [mV]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10"/>
        <majorUnit val="1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  <txPr xmlns:a="http://schemas.openxmlformats.org/drawingml/2006/main">
    <a:bodyPr/>
    <a:lstStyle/>
    <a:p>
      <a:pPr>
        <a:defRPr sz="900">
          <a:solidFill>
            <a:srgbClr val="595959"/>
          </a:solidFill>
          <a:latin typeface="游ゴシック"/>
          <a:ea typeface="游ゴシック"/>
        </a:defRPr>
      </a:pPr>
      <a:endParaRPr lang="ja-JP"/>
    </a:p>
  </txPr>
</chartSpace>
</file>

<file path=xl/charts/chart3.xml><?xml version="1.0" encoding="utf-8"?>
<chartSpace xmlns="http://schemas.openxmlformats.org/drawingml/2006/chart">
  <roundedCorners val="0"/>
  <style val="2"/>
  <chart>
    <autoTitleDeleted val="1"/>
    <plotArea>
      <scatterChart>
        <ser>
          <idx val="0"/>
          <order val="0"/>
          <tx>
            <v>測定値</v>
          </tx>
          <spPr>
            <a:ln xmlns:a="http://schemas.openxmlformats.org/drawingml/2006/main" w="28575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 w="9525">
                <a:solidFill>
                  <a:srgbClr val="4472C4"/>
                </a:solidFill>
                <a:prstDash val="solid"/>
              </a:ln>
            </spPr>
          </marker>
          <xVal>
            <numRef>
              <f>'冷却_Zn'!$A$4:$A$43</f>
            </numRef>
          </xVal>
          <yVal>
            <numRef>
              <f>'冷却_Zn'!$B$4:$B$43</f>
            </numRef>
          </yVal>
        </ser>
        <ser>
          <idx val="1"/>
          <order val="1"/>
          <tx>
            <v>融点とみなした区間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 w="9525">
                <a:solidFill>
                  <a:srgbClr val="ED7D31"/>
                </a:solidFill>
                <a:prstDash val="solid"/>
              </a:ln>
            </spPr>
          </marker>
          <xVal>
            <numRef>
              <f>'冷却_Zn'!$A$4:$A$43</f>
            </numRef>
          </xVal>
          <yVal>
            <numRef>
              <f>'冷却_Zn'!$C$4:$C$43</f>
            </numRef>
          </yVal>
        </ser>
        <ser>
          <idx val="2"/>
          <order val="2"/>
          <tx>
            <v>平均値 16.995 mV</v>
          </tx>
          <spPr>
            <a:ln xmlns:a="http://schemas.openxmlformats.org/drawingml/2006/main" w="19050">
              <a:solidFill>
                <a:srgbClr val="A5A5A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'冷却_Zn'!$E$13:$E$14</f>
            </numRef>
          </xVal>
          <yVal>
            <numRef>
              <f>'冷却_Zn'!$F$13:$F$14</f>
            </numRef>
          </yVal>
        </ser>
        <axId val="10"/>
        <axId val="20"/>
      </scatterChart>
      <valAx>
        <axId val="10"/>
        <scaling>
          <orientation val="minMax"/>
          <max val="600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時間 [s]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20"/>
        <majorUnit val="100"/>
      </valAx>
      <valAx>
        <axId val="20"/>
        <scaling>
          <orientation val="minMax"/>
          <max val="20.5"/>
          <min val="16.5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熱起電力 [mV]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10"/>
        <majorUnit val="1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  <txPr xmlns:a="http://schemas.openxmlformats.org/drawingml/2006/main">
    <a:bodyPr/>
    <a:lstStyle/>
    <a:p>
      <a:pPr>
        <a:defRPr sz="900">
          <a:solidFill>
            <a:srgbClr val="595959"/>
          </a:solidFill>
          <a:latin typeface="游ゴシック"/>
          <a:ea typeface="游ゴシック"/>
        </a:defRPr>
      </a:pPr>
      <a:endParaRPr lang="ja-JP"/>
    </a:p>
  </txPr>
</chartSpace>
</file>

<file path=xl/charts/chart4.xml><?xml version="1.0" encoding="utf-8"?>
<chartSpace xmlns="http://schemas.openxmlformats.org/drawingml/2006/chart">
  <roundedCorners val="0"/>
  <style val="2"/>
  <chart>
    <autoTitleDeleted val="1"/>
    <plotArea>
      <scatterChart>
        <ser>
          <idx val="0"/>
          <order val="0"/>
          <tx>
            <v>近似直線（1次式）</v>
          </tx>
          <spPr>
            <a:ln xmlns:a="http://schemas.openxmlformats.org/drawingml/2006/main" w="28575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'最小二乗法'!$K$4:$K$49</f>
            </numRef>
          </xVal>
          <yVal>
            <numRef>
              <f>'最小二乗法'!$L$4:$L$49</f>
            </numRef>
          </yVal>
        </ser>
        <ser>
          <idx val="1"/>
          <order val="1"/>
          <tx>
            <v>近似曲線（2次式）</v>
          </tx>
          <spPr>
            <a:ln xmlns:a="http://schemas.openxmlformats.org/drawingml/2006/main" w="28575">
              <a:solidFill>
                <a:srgbClr val="A5A5A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'最小二乗法'!$K$4:$K$49</f>
            </numRef>
          </xVal>
          <yVal>
            <numRef>
              <f>'最小二乗法'!$M$4:$M$49</f>
            </numRef>
          </yVal>
        </ser>
        <ser>
          <idx val="2"/>
          <order val="2"/>
          <tx>
            <v>測定点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4472C4"/>
              </a:solidFill>
              <a:ln xmlns:a="http://schemas.openxmlformats.org/drawingml/2006/main" w="9525">
                <a:solidFill>
                  <a:srgbClr val="4472C4"/>
                </a:solidFill>
                <a:prstDash val="solid"/>
              </a:ln>
            </spPr>
          </marker>
          <xVal>
            <numRef>
              <f>'最小二乗法'!$B$4:$B$8</f>
            </numRef>
          </xVal>
          <yVal>
            <numRef>
              <f>'最小二乗法'!$C$4:$C$8</f>
            </numRef>
          </yVal>
        </ser>
        <axId val="10"/>
        <axId val="20"/>
      </scatterChart>
      <valAx>
        <axId val="10"/>
        <scaling>
          <orientation val="minMax"/>
          <max val="450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温度 t [℃]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20"/>
        <majorUnit val="50"/>
      </valAx>
      <valAx>
        <axId val="20"/>
        <scaling>
          <orientation val="minMax"/>
          <max val="20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熱起電力 E [mV]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10"/>
        <majorUnit val="2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  <txPr xmlns:a="http://schemas.openxmlformats.org/drawingml/2006/main">
    <a:bodyPr/>
    <a:lstStyle/>
    <a:p>
      <a:pPr>
        <a:defRPr sz="900">
          <a:solidFill>
            <a:srgbClr val="595959"/>
          </a:solidFill>
          <a:latin typeface="游ゴシック"/>
          <a:ea typeface="游ゴシック"/>
        </a:defRPr>
      </a:pPr>
      <a:endParaRPr lang="ja-JP"/>
    </a:p>
  </txPr>
</chartSpace>
</file>

<file path=xl/charts/chart5.xml><?xml version="1.0" encoding="utf-8"?>
<chartSpace xmlns="http://schemas.openxmlformats.org/drawingml/2006/chart">
  <roundedCorners val="0"/>
  <style val="2"/>
  <chart>
    <autoTitleDeleted val="1"/>
    <plotArea>
      <scatterChart>
        <ser>
          <idx val="0"/>
          <order val="0"/>
          <tx>
            <v>近似直線（1次式）</v>
          </tx>
          <spPr>
            <a:ln xmlns:a="http://schemas.openxmlformats.org/drawingml/2006/main" w="28575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'規格との比較'!$A$12:$A$102</f>
            </numRef>
          </xVal>
          <yVal>
            <numRef>
              <f>'規格との比較'!$B$12:$B$102</f>
            </numRef>
          </yVal>
        </ser>
        <ser>
          <idx val="1"/>
          <order val="1"/>
          <tx>
            <v>近似曲線（2次式）</v>
          </tx>
          <spPr>
            <a:ln xmlns:a="http://schemas.openxmlformats.org/drawingml/2006/main" w="28575">
              <a:solidFill>
                <a:srgbClr val="A5A5A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'規格との比較'!$A$12:$A$102</f>
            </numRef>
          </xVal>
          <yVal>
            <numRef>
              <f>'規格との比較'!$C$12:$C$102</f>
            </numRef>
          </yVal>
        </ser>
        <ser>
          <idx val="2"/>
          <order val="2"/>
          <tx>
            <v>測定点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4472C4"/>
              </a:solidFill>
              <a:ln xmlns:a="http://schemas.openxmlformats.org/drawingml/2006/main" w="9525">
                <a:solidFill>
                  <a:srgbClr val="4472C4"/>
                </a:solidFill>
                <a:prstDash val="solid"/>
              </a:ln>
            </spPr>
          </marker>
          <xVal>
            <numRef>
              <f>'規格との比較'!$B$4:$B$8</f>
            </numRef>
          </xVal>
          <yVal>
            <numRef>
              <f>'規格との比較'!$F$4:$F$8</f>
            </numRef>
          </yVal>
        </ser>
        <axId val="10"/>
        <axId val="20"/>
      </scatterChart>
      <valAx>
        <axId val="10"/>
        <scaling>
          <orientation val="minMax"/>
          <max val="450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温度 t [℃]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20"/>
        <crosses val="min"/>
        <majorUnit val="50"/>
      </valAx>
      <valAx>
        <axId val="20"/>
        <scaling>
          <orientation val="minMax"/>
          <max val="2"/>
          <min val="-1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規格からのずれ（温度換算）[℃]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10"/>
        <majorUnit val="1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  <txPr xmlns:a="http://schemas.openxmlformats.org/drawingml/2006/main">
    <a:bodyPr/>
    <a:lstStyle/>
    <a:p>
      <a:pPr>
        <a:defRPr sz="900">
          <a:solidFill>
            <a:srgbClr val="595959"/>
          </a:solidFill>
          <a:latin typeface="游ゴシック"/>
          <a:ea typeface="游ゴシック"/>
        </a:defRPr>
      </a:pPr>
      <a:endParaRPr lang="ja-JP"/>
    </a:p>
  </tx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14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2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実験3：加熱開始を0 sとした通しの記録（15 s間隔）。起電力が最大の点以降を冷却時のデータとした．</t>
        </is>
      </c>
    </row>
    <row r="3">
      <c r="A3" s="2" t="inlineStr">
        <is>
          <t>スズ（Sn）</t>
        </is>
      </c>
      <c r="D3" s="2" t="inlineStr">
        <is>
          <t>鉛（Pb）</t>
        </is>
      </c>
      <c r="G3" s="2" t="inlineStr">
        <is>
          <t>亜鉛（Zn）</t>
        </is>
      </c>
      <c r="J3" s="2" t="inlineStr">
        <is>
          <t>実験1・2</t>
        </is>
      </c>
    </row>
    <row r="4">
      <c r="A4" s="3" t="inlineStr">
        <is>
          <t>時間 [s]</t>
        </is>
      </c>
      <c r="B4" s="3" t="inlineStr">
        <is>
          <t>熱起電力 [mV]</t>
        </is>
      </c>
      <c r="D4" s="3" t="inlineStr">
        <is>
          <t>時間 [s]</t>
        </is>
      </c>
      <c r="E4" s="3" t="inlineStr">
        <is>
          <t>熱起電力 [mV]</t>
        </is>
      </c>
      <c r="G4" s="3" t="inlineStr">
        <is>
          <t>時間 [s]</t>
        </is>
      </c>
      <c r="H4" s="3" t="inlineStr">
        <is>
          <t>熱起電力 [mV]</t>
        </is>
      </c>
      <c r="J4" s="3" t="inlineStr">
        <is>
          <t>項目</t>
        </is>
      </c>
      <c r="K4" s="3" t="inlineStr">
        <is>
          <t>温度 [℃]</t>
        </is>
      </c>
      <c r="L4" s="3" t="inlineStr">
        <is>
          <t>熱起電力 [mV]</t>
        </is>
      </c>
    </row>
    <row r="5">
      <c r="A5" s="4" t="n">
        <v>0</v>
      </c>
      <c r="B5" s="5" t="n">
        <v>4.86</v>
      </c>
      <c r="D5" s="4" t="n">
        <v>0</v>
      </c>
      <c r="E5" s="5" t="n">
        <v>0.8139999999999999</v>
      </c>
      <c r="G5" s="4" t="n">
        <v>0</v>
      </c>
      <c r="H5" s="5" t="n">
        <v>6.201</v>
      </c>
      <c r="J5" s="6" t="inlineStr">
        <is>
          <t>室温</t>
        </is>
      </c>
      <c r="K5" s="7" t="n">
        <v>24.5</v>
      </c>
      <c r="L5" s="5" t="n">
        <v>0.84</v>
      </c>
    </row>
    <row r="6">
      <c r="A6" s="4" t="n">
        <v>15</v>
      </c>
      <c r="B6" s="5" t="n">
        <v>5.584</v>
      </c>
      <c r="D6" s="4" t="n">
        <v>15</v>
      </c>
      <c r="E6" s="5" t="n">
        <v>0.829</v>
      </c>
      <c r="G6" s="4" t="n">
        <v>15</v>
      </c>
      <c r="H6" s="5" t="n">
        <v>6.393</v>
      </c>
      <c r="J6" s="6" t="inlineStr">
        <is>
          <t>0 ℃（氷水）</t>
        </is>
      </c>
      <c r="K6" s="4" t="n">
        <v>0</v>
      </c>
      <c r="L6" s="5" t="n">
        <v>0.027</v>
      </c>
    </row>
    <row r="7">
      <c r="A7" s="4" t="n">
        <v>30</v>
      </c>
      <c r="B7" s="5" t="n">
        <v>6.173</v>
      </c>
      <c r="D7" s="4" t="n">
        <v>30</v>
      </c>
      <c r="E7" s="5" t="n">
        <v>0.862</v>
      </c>
      <c r="G7" s="4" t="n">
        <v>30</v>
      </c>
      <c r="H7" s="5" t="n">
        <v>6.57</v>
      </c>
    </row>
    <row r="8">
      <c r="A8" s="4" t="n">
        <v>45</v>
      </c>
      <c r="B8" s="5" t="n">
        <v>6.71</v>
      </c>
      <c r="D8" s="4" t="n">
        <v>45</v>
      </c>
      <c r="E8" s="5" t="n">
        <v>0.925</v>
      </c>
      <c r="G8" s="4" t="n">
        <v>45</v>
      </c>
      <c r="H8" s="5" t="n">
        <v>6.771</v>
      </c>
    </row>
    <row r="9">
      <c r="A9" s="4" t="n">
        <v>60</v>
      </c>
      <c r="B9" s="5" t="n">
        <v>7.286</v>
      </c>
      <c r="D9" s="4" t="n">
        <v>60</v>
      </c>
      <c r="E9" s="5" t="n">
        <v>1.008</v>
      </c>
      <c r="G9" s="4" t="n">
        <v>60</v>
      </c>
      <c r="H9" s="5" t="n">
        <v>6.998</v>
      </c>
    </row>
    <row r="10">
      <c r="A10" s="4" t="n">
        <v>75</v>
      </c>
      <c r="B10" s="5" t="n">
        <v>7.819</v>
      </c>
      <c r="D10" s="4" t="n">
        <v>75</v>
      </c>
      <c r="E10" s="5" t="n">
        <v>1.119</v>
      </c>
      <c r="G10" s="4" t="n">
        <v>75</v>
      </c>
      <c r="H10" s="5" t="n">
        <v>7.218</v>
      </c>
    </row>
    <row r="11">
      <c r="A11" s="4" t="n">
        <v>90</v>
      </c>
      <c r="B11" s="5" t="n">
        <v>8.34</v>
      </c>
      <c r="D11" s="4" t="n">
        <v>90</v>
      </c>
      <c r="E11" s="5" t="n">
        <v>1.25</v>
      </c>
      <c r="G11" s="4" t="n">
        <v>90</v>
      </c>
      <c r="H11" s="5" t="n">
        <v>7.459</v>
      </c>
    </row>
    <row r="12">
      <c r="A12" s="4" t="n">
        <v>105</v>
      </c>
      <c r="B12" s="5" t="n">
        <v>8.863</v>
      </c>
      <c r="D12" s="4" t="n">
        <v>105</v>
      </c>
      <c r="E12" s="5" t="n">
        <v>1.402</v>
      </c>
      <c r="G12" s="4" t="n">
        <v>105</v>
      </c>
      <c r="H12" s="5" t="n">
        <v>7.691</v>
      </c>
    </row>
    <row r="13">
      <c r="A13" s="4" t="n">
        <v>120</v>
      </c>
      <c r="B13" s="5" t="n">
        <v>9.201000000000001</v>
      </c>
      <c r="D13" s="4" t="n">
        <v>120</v>
      </c>
      <c r="E13" s="5" t="n">
        <v>1.556</v>
      </c>
      <c r="G13" s="4" t="n">
        <v>120</v>
      </c>
      <c r="H13" s="5" t="n">
        <v>7.941</v>
      </c>
    </row>
    <row r="14">
      <c r="A14" s="4" t="n">
        <v>135</v>
      </c>
      <c r="B14" s="5" t="n">
        <v>9.244999999999999</v>
      </c>
      <c r="D14" s="4" t="n">
        <v>135</v>
      </c>
      <c r="E14" s="5" t="n">
        <v>1.75</v>
      </c>
      <c r="G14" s="4" t="n">
        <v>135</v>
      </c>
      <c r="H14" s="5" t="n">
        <v>8.199999999999999</v>
      </c>
    </row>
    <row r="15">
      <c r="A15" s="4" t="n">
        <v>150</v>
      </c>
      <c r="B15" s="5" t="n">
        <v>9.260999999999999</v>
      </c>
      <c r="D15" s="4" t="n">
        <v>150</v>
      </c>
      <c r="E15" s="5" t="n">
        <v>1.939</v>
      </c>
      <c r="G15" s="4" t="n">
        <v>150</v>
      </c>
      <c r="H15" s="5" t="n">
        <v>8.474</v>
      </c>
    </row>
    <row r="16">
      <c r="A16" s="4" t="n">
        <v>165</v>
      </c>
      <c r="B16" s="5" t="n">
        <v>9.295</v>
      </c>
      <c r="D16" s="4" t="n">
        <v>165</v>
      </c>
      <c r="E16" s="5" t="n">
        <v>2.152</v>
      </c>
      <c r="G16" s="4" t="n">
        <v>165</v>
      </c>
      <c r="H16" s="5" t="n">
        <v>8.763999999999999</v>
      </c>
    </row>
    <row r="17">
      <c r="A17" s="4" t="n">
        <v>180</v>
      </c>
      <c r="B17" s="5" t="n">
        <v>9.314</v>
      </c>
      <c r="D17" s="4" t="n">
        <v>180</v>
      </c>
      <c r="E17" s="5" t="n">
        <v>2.366</v>
      </c>
      <c r="G17" s="4" t="n">
        <v>180</v>
      </c>
      <c r="H17" s="5" t="n">
        <v>9.034000000000001</v>
      </c>
    </row>
    <row r="18">
      <c r="A18" s="4" t="n">
        <v>195</v>
      </c>
      <c r="B18" s="5" t="n">
        <v>9.56</v>
      </c>
      <c r="D18" s="4" t="n">
        <v>195</v>
      </c>
      <c r="E18" s="5" t="n">
        <v>2.59</v>
      </c>
      <c r="G18" s="4" t="n">
        <v>195</v>
      </c>
      <c r="H18" s="5" t="n">
        <v>9.311999999999999</v>
      </c>
    </row>
    <row r="19">
      <c r="A19" s="4" t="n">
        <v>210</v>
      </c>
      <c r="B19" s="5" t="n">
        <v>10.591</v>
      </c>
      <c r="D19" s="4" t="n">
        <v>210</v>
      </c>
      <c r="E19" s="5" t="n">
        <v>2.825</v>
      </c>
      <c r="G19" s="4" t="n">
        <v>210</v>
      </c>
      <c r="H19" s="5" t="n">
        <v>9.564</v>
      </c>
    </row>
    <row r="20">
      <c r="A20" s="4" t="n">
        <v>225</v>
      </c>
      <c r="B20" s="5" t="n">
        <v>11.23</v>
      </c>
      <c r="D20" s="4" t="n">
        <v>225</v>
      </c>
      <c r="E20" s="5" t="n">
        <v>3.055</v>
      </c>
      <c r="G20" s="4" t="n">
        <v>225</v>
      </c>
      <c r="H20" s="5" t="n">
        <v>9.824</v>
      </c>
    </row>
    <row r="21">
      <c r="A21" s="4" t="n">
        <v>240</v>
      </c>
      <c r="B21" s="5" t="n">
        <v>11.695</v>
      </c>
      <c r="D21" s="4" t="n">
        <v>240</v>
      </c>
      <c r="E21" s="5" t="n">
        <v>3.301</v>
      </c>
      <c r="G21" s="4" t="n">
        <v>240</v>
      </c>
      <c r="H21" s="5" t="n">
        <v>10.094</v>
      </c>
    </row>
    <row r="22">
      <c r="A22" s="4" t="n">
        <v>255</v>
      </c>
      <c r="B22" s="5" t="n">
        <v>11.055</v>
      </c>
      <c r="D22" s="4" t="n">
        <v>255</v>
      </c>
      <c r="E22" s="5" t="n">
        <v>3.55</v>
      </c>
      <c r="G22" s="4" t="n">
        <v>255</v>
      </c>
      <c r="H22" s="5" t="n">
        <v>10.346</v>
      </c>
    </row>
    <row r="23">
      <c r="A23" s="4" t="n">
        <v>270</v>
      </c>
      <c r="B23" s="5" t="n">
        <v>12.332</v>
      </c>
      <c r="D23" s="4" t="n">
        <v>270</v>
      </c>
      <c r="E23" s="5" t="n">
        <v>3.803</v>
      </c>
      <c r="G23" s="4" t="n">
        <v>270</v>
      </c>
      <c r="H23" s="5" t="n">
        <v>10.624</v>
      </c>
    </row>
    <row r="24">
      <c r="A24" s="4" t="n">
        <v>285</v>
      </c>
      <c r="B24" s="5" t="n">
        <v>12.563</v>
      </c>
      <c r="D24" s="4" t="n">
        <v>285</v>
      </c>
      <c r="E24" s="5" t="n">
        <v>4.066</v>
      </c>
      <c r="G24" s="4" t="n">
        <v>285</v>
      </c>
      <c r="H24" s="5" t="n">
        <v>10.886</v>
      </c>
    </row>
    <row r="25">
      <c r="A25" s="4" t="n">
        <v>300</v>
      </c>
      <c r="B25" s="5" t="n">
        <v>12.727</v>
      </c>
      <c r="D25" s="4" t="n">
        <v>300</v>
      </c>
      <c r="E25" s="5" t="n">
        <v>4.317</v>
      </c>
      <c r="G25" s="4" t="n">
        <v>300</v>
      </c>
      <c r="H25" s="5" t="n">
        <v>11.149</v>
      </c>
    </row>
    <row r="26">
      <c r="A26" s="4" t="n">
        <v>315</v>
      </c>
      <c r="B26" s="5" t="n">
        <v>12.848</v>
      </c>
      <c r="D26" s="4" t="n">
        <v>315</v>
      </c>
      <c r="E26" s="5" t="n">
        <v>4.593</v>
      </c>
      <c r="G26" s="4" t="n">
        <v>315</v>
      </c>
      <c r="H26" s="5" t="n">
        <v>11.413</v>
      </c>
    </row>
    <row r="27">
      <c r="A27" s="4" t="n">
        <v>330</v>
      </c>
      <c r="B27" s="5" t="n">
        <v>12.927</v>
      </c>
      <c r="D27" s="4" t="n">
        <v>330</v>
      </c>
      <c r="E27" s="5" t="n">
        <v>4.854</v>
      </c>
      <c r="G27" s="4" t="n">
        <v>330</v>
      </c>
      <c r="H27" s="5" t="n">
        <v>11.661</v>
      </c>
    </row>
    <row r="28">
      <c r="A28" s="4" t="n">
        <v>345</v>
      </c>
      <c r="B28" s="5" t="n">
        <v>12.983</v>
      </c>
      <c r="D28" s="4" t="n">
        <v>345</v>
      </c>
      <c r="E28" s="5" t="n">
        <v>5.108</v>
      </c>
      <c r="G28" s="4" t="n">
        <v>345</v>
      </c>
      <c r="H28" s="5" t="n">
        <v>11.924</v>
      </c>
    </row>
    <row r="29">
      <c r="A29" s="4" t="n">
        <v>360</v>
      </c>
      <c r="B29" s="5" t="n">
        <v>13.015</v>
      </c>
      <c r="D29" s="4" t="n">
        <v>360</v>
      </c>
      <c r="E29" s="5" t="n">
        <v>5.373</v>
      </c>
      <c r="G29" s="4" t="n">
        <v>360</v>
      </c>
      <c r="H29" s="5" t="n">
        <v>12.197</v>
      </c>
    </row>
    <row r="30">
      <c r="A30" s="4" t="n">
        <v>375</v>
      </c>
      <c r="B30" s="5" t="n">
        <v>13.037</v>
      </c>
      <c r="D30" s="4" t="n">
        <v>375</v>
      </c>
      <c r="E30" s="5" t="n">
        <v>5.643</v>
      </c>
      <c r="G30" s="4" t="n">
        <v>375</v>
      </c>
      <c r="H30" s="5" t="n">
        <v>12.453</v>
      </c>
    </row>
    <row r="31">
      <c r="A31" s="4" t="n">
        <v>390</v>
      </c>
      <c r="B31" s="5" t="n">
        <v>13.054</v>
      </c>
      <c r="D31" s="4" t="n">
        <v>390</v>
      </c>
      <c r="E31" s="5" t="n">
        <v>5.885</v>
      </c>
      <c r="G31" s="4" t="n">
        <v>390</v>
      </c>
      <c r="H31" s="5" t="n">
        <v>12.673</v>
      </c>
    </row>
    <row r="32">
      <c r="A32" s="4" t="n">
        <v>405</v>
      </c>
      <c r="B32" s="5" t="n">
        <v>13.047</v>
      </c>
      <c r="D32" s="4" t="n">
        <v>405</v>
      </c>
      <c r="E32" s="5" t="n">
        <v>6.143</v>
      </c>
      <c r="G32" s="4" t="n">
        <v>405</v>
      </c>
      <c r="H32" s="5" t="n">
        <v>12.909</v>
      </c>
    </row>
    <row r="33">
      <c r="A33" s="4" t="n">
        <v>420</v>
      </c>
      <c r="B33" s="5" t="n">
        <v>13.027</v>
      </c>
      <c r="D33" s="4" t="n">
        <v>420</v>
      </c>
      <c r="E33" s="5" t="n">
        <v>6.395</v>
      </c>
      <c r="G33" s="4" t="n">
        <v>420</v>
      </c>
      <c r="H33" s="5" t="n">
        <v>13.13</v>
      </c>
    </row>
    <row r="34">
      <c r="A34" s="4" t="n">
        <v>435</v>
      </c>
      <c r="B34" s="5" t="n">
        <v>12.984</v>
      </c>
      <c r="D34" s="4" t="n">
        <v>435</v>
      </c>
      <c r="E34" s="5" t="n">
        <v>6.664</v>
      </c>
      <c r="G34" s="4" t="n">
        <v>435</v>
      </c>
      <c r="H34" s="5" t="n">
        <v>13.352</v>
      </c>
    </row>
    <row r="35">
      <c r="A35" s="4" t="n">
        <v>450</v>
      </c>
      <c r="B35" s="5" t="n">
        <v>12.927</v>
      </c>
      <c r="D35" s="4" t="n">
        <v>450</v>
      </c>
      <c r="E35" s="5" t="n">
        <v>6.894</v>
      </c>
      <c r="G35" s="4" t="n">
        <v>450</v>
      </c>
      <c r="H35" s="5" t="n">
        <v>13.572</v>
      </c>
    </row>
    <row r="36">
      <c r="A36" s="4" t="n">
        <v>465</v>
      </c>
      <c r="B36" s="5" t="n">
        <v>12.878</v>
      </c>
      <c r="D36" s="4" t="n">
        <v>465</v>
      </c>
      <c r="E36" s="5" t="n">
        <v>7.145</v>
      </c>
      <c r="G36" s="4" t="n">
        <v>465</v>
      </c>
      <c r="H36" s="5" t="n">
        <v>13.782</v>
      </c>
    </row>
    <row r="37">
      <c r="A37" s="4" t="n">
        <v>480</v>
      </c>
      <c r="B37" s="5" t="n">
        <v>12.817</v>
      </c>
      <c r="D37" s="4" t="n">
        <v>480</v>
      </c>
      <c r="E37" s="5" t="n">
        <v>7.392</v>
      </c>
      <c r="G37" s="4" t="n">
        <v>480</v>
      </c>
      <c r="H37" s="5" t="n">
        <v>13.977</v>
      </c>
    </row>
    <row r="38">
      <c r="A38" s="4" t="n">
        <v>495</v>
      </c>
      <c r="B38" s="5" t="n">
        <v>12.767</v>
      </c>
      <c r="D38" s="4" t="n">
        <v>495</v>
      </c>
      <c r="E38" s="5" t="n">
        <v>7.643</v>
      </c>
      <c r="G38" s="4" t="n">
        <v>495</v>
      </c>
      <c r="H38" s="5" t="n">
        <v>14.198</v>
      </c>
    </row>
    <row r="39">
      <c r="A39" s="4" t="n">
        <v>510</v>
      </c>
      <c r="B39" s="5" t="n">
        <v>12.706</v>
      </c>
      <c r="D39" s="4" t="n">
        <v>510</v>
      </c>
      <c r="E39" s="5" t="n">
        <v>7.873</v>
      </c>
      <c r="G39" s="4" t="n">
        <v>510</v>
      </c>
      <c r="H39" s="5" t="n">
        <v>14.417</v>
      </c>
    </row>
    <row r="40">
      <c r="A40" s="4" t="n">
        <v>525</v>
      </c>
      <c r="B40" s="5" t="n">
        <v>12.643</v>
      </c>
      <c r="D40" s="4" t="n">
        <v>525</v>
      </c>
      <c r="E40" s="5" t="n">
        <v>8.106</v>
      </c>
      <c r="G40" s="4" t="n">
        <v>525</v>
      </c>
      <c r="H40" s="5" t="n">
        <v>14.602</v>
      </c>
    </row>
    <row r="41">
      <c r="A41" s="4" t="n">
        <v>540</v>
      </c>
      <c r="B41" s="5" t="n">
        <v>12.483</v>
      </c>
      <c r="D41" s="4" t="n">
        <v>540</v>
      </c>
      <c r="E41" s="5" t="n">
        <v>8.340999999999999</v>
      </c>
      <c r="G41" s="4" t="n">
        <v>540</v>
      </c>
      <c r="H41" s="5" t="n">
        <v>14.802</v>
      </c>
    </row>
    <row r="42">
      <c r="A42" s="4" t="n">
        <v>555</v>
      </c>
      <c r="B42" s="5" t="n">
        <v>12.511</v>
      </c>
      <c r="D42" s="4" t="n">
        <v>555</v>
      </c>
      <c r="E42" s="5" t="n">
        <v>8.571999999999999</v>
      </c>
      <c r="G42" s="4" t="n">
        <v>555</v>
      </c>
      <c r="H42" s="5" t="n">
        <v>14.979</v>
      </c>
    </row>
    <row r="43">
      <c r="A43" s="4" t="n">
        <v>570</v>
      </c>
      <c r="B43" s="5" t="n">
        <v>12.446</v>
      </c>
      <c r="D43" s="4" t="n">
        <v>570</v>
      </c>
      <c r="E43" s="5" t="n">
        <v>8.798999999999999</v>
      </c>
      <c r="G43" s="4" t="n">
        <v>570</v>
      </c>
      <c r="H43" s="5" t="n">
        <v>15.186</v>
      </c>
    </row>
    <row r="44">
      <c r="A44" s="4" t="n">
        <v>585</v>
      </c>
      <c r="B44" s="5" t="n">
        <v>12.377</v>
      </c>
      <c r="D44" s="4" t="n">
        <v>585</v>
      </c>
      <c r="E44" s="5" t="n">
        <v>9.02</v>
      </c>
      <c r="G44" s="4" t="n">
        <v>585</v>
      </c>
      <c r="H44" s="5" t="n">
        <v>15.352</v>
      </c>
    </row>
    <row r="45">
      <c r="A45" s="4" t="n">
        <v>600</v>
      </c>
      <c r="B45" s="5" t="n">
        <v>12.295</v>
      </c>
      <c r="D45" s="4" t="n">
        <v>600</v>
      </c>
      <c r="E45" s="5" t="n">
        <v>9.242000000000001</v>
      </c>
      <c r="G45" s="4" t="n">
        <v>600</v>
      </c>
      <c r="H45" s="5" t="n">
        <v>15.513</v>
      </c>
    </row>
    <row r="46">
      <c r="A46" s="4" t="n">
        <v>615</v>
      </c>
      <c r="B46" s="5" t="n">
        <v>12.221</v>
      </c>
      <c r="D46" s="4" t="n">
        <v>615</v>
      </c>
      <c r="E46" s="5" t="n">
        <v>9.467000000000001</v>
      </c>
      <c r="G46" s="4" t="n">
        <v>615</v>
      </c>
      <c r="H46" s="5" t="n">
        <v>15.686</v>
      </c>
    </row>
    <row r="47">
      <c r="A47" s="4" t="n">
        <v>630</v>
      </c>
      <c r="B47" s="5" t="n">
        <v>12.141</v>
      </c>
      <c r="D47" s="4" t="n">
        <v>630</v>
      </c>
      <c r="E47" s="5" t="n">
        <v>9.699</v>
      </c>
      <c r="G47" s="4" t="n">
        <v>630</v>
      </c>
      <c r="H47" s="5" t="n">
        <v>15.831</v>
      </c>
    </row>
    <row r="48">
      <c r="A48" s="4" t="n">
        <v>645</v>
      </c>
      <c r="B48" s="5" t="n">
        <v>12.05</v>
      </c>
      <c r="D48" s="4" t="n">
        <v>645</v>
      </c>
      <c r="E48" s="5" t="n">
        <v>9.912000000000001</v>
      </c>
      <c r="G48" s="4" t="n">
        <v>645</v>
      </c>
      <c r="H48" s="5" t="n">
        <v>15.984</v>
      </c>
    </row>
    <row r="49">
      <c r="A49" s="4" t="n">
        <v>660</v>
      </c>
      <c r="B49" s="5" t="n">
        <v>11.966</v>
      </c>
      <c r="D49" s="4" t="n">
        <v>660</v>
      </c>
      <c r="E49" s="5" t="n">
        <v>10.126</v>
      </c>
      <c r="G49" s="4" t="n">
        <v>660</v>
      </c>
      <c r="H49" s="5" t="n">
        <v>16.132</v>
      </c>
    </row>
    <row r="50">
      <c r="A50" s="4" t="n">
        <v>675</v>
      </c>
      <c r="B50" s="5" t="n">
        <v>11.821</v>
      </c>
      <c r="D50" s="4" t="n">
        <v>675</v>
      </c>
      <c r="E50" s="5" t="n">
        <v>10.335</v>
      </c>
      <c r="G50" s="4" t="n">
        <v>675</v>
      </c>
      <c r="H50" s="5" t="n">
        <v>16.307</v>
      </c>
    </row>
    <row r="51">
      <c r="A51" s="4" t="n">
        <v>690</v>
      </c>
      <c r="B51" s="5" t="n">
        <v>11.742</v>
      </c>
      <c r="D51" s="4" t="n">
        <v>690</v>
      </c>
      <c r="E51" s="5" t="n">
        <v>10.546</v>
      </c>
      <c r="G51" s="4" t="n">
        <v>690</v>
      </c>
      <c r="H51" s="5" t="n">
        <v>16.488</v>
      </c>
    </row>
    <row r="52">
      <c r="A52" s="4" t="n">
        <v>705</v>
      </c>
      <c r="B52" s="5" t="n">
        <v>11.664</v>
      </c>
      <c r="D52" s="4" t="n">
        <v>705</v>
      </c>
      <c r="E52" s="5" t="n">
        <v>10.75</v>
      </c>
      <c r="G52" s="4" t="n">
        <v>705</v>
      </c>
      <c r="H52" s="5" t="n">
        <v>16.661</v>
      </c>
    </row>
    <row r="53">
      <c r="A53" s="4" t="n">
        <v>720</v>
      </c>
      <c r="B53" s="5" t="n">
        <v>11.57</v>
      </c>
      <c r="D53" s="4" t="n">
        <v>720</v>
      </c>
      <c r="E53" s="5" t="n">
        <v>10.962</v>
      </c>
      <c r="G53" s="4" t="n">
        <v>720</v>
      </c>
      <c r="H53" s="5" t="n">
        <v>16.831</v>
      </c>
    </row>
    <row r="54">
      <c r="A54" s="4" t="n">
        <v>735</v>
      </c>
      <c r="B54" s="5" t="n">
        <v>11.503</v>
      </c>
      <c r="D54" s="4" t="n">
        <v>735</v>
      </c>
      <c r="E54" s="5" t="n">
        <v>11.158</v>
      </c>
      <c r="G54" s="4" t="n">
        <v>735</v>
      </c>
      <c r="H54" s="5" t="n">
        <v>16.989</v>
      </c>
    </row>
    <row r="55">
      <c r="A55" s="4" t="n">
        <v>750</v>
      </c>
      <c r="B55" s="5" t="n">
        <v>11.422</v>
      </c>
      <c r="D55" s="4" t="n">
        <v>750</v>
      </c>
      <c r="E55" s="5" t="n">
        <v>11.361</v>
      </c>
      <c r="G55" s="4" t="n">
        <v>750</v>
      </c>
      <c r="H55" s="5" t="n">
        <v>17.025</v>
      </c>
    </row>
    <row r="56">
      <c r="A56" s="4" t="n">
        <v>765</v>
      </c>
      <c r="B56" s="5" t="n">
        <v>11.348</v>
      </c>
      <c r="D56" s="4" t="n">
        <v>765</v>
      </c>
      <c r="E56" s="5" t="n">
        <v>11.554</v>
      </c>
      <c r="G56" s="4" t="n">
        <v>765</v>
      </c>
      <c r="H56" s="5" t="n">
        <v>17.027</v>
      </c>
    </row>
    <row r="57">
      <c r="A57" s="4" t="n">
        <v>780</v>
      </c>
      <c r="B57" s="5" t="n">
        <v>11.288</v>
      </c>
      <c r="D57" s="4" t="n">
        <v>780</v>
      </c>
      <c r="E57" s="5" t="n">
        <v>11.742</v>
      </c>
      <c r="G57" s="4" t="n">
        <v>780</v>
      </c>
      <c r="H57" s="5" t="n">
        <v>17.035</v>
      </c>
    </row>
    <row r="58">
      <c r="A58" s="4" t="n">
        <v>795</v>
      </c>
      <c r="B58" s="5" t="n">
        <v>11.218</v>
      </c>
      <c r="D58" s="4" t="n">
        <v>795</v>
      </c>
      <c r="E58" s="5" t="n">
        <v>11.893</v>
      </c>
      <c r="G58" s="4" t="n">
        <v>795</v>
      </c>
      <c r="H58" s="5" t="n">
        <v>17.038</v>
      </c>
    </row>
    <row r="59">
      <c r="A59" s="4" t="n">
        <v>810</v>
      </c>
      <c r="B59" s="5" t="n">
        <v>11.143</v>
      </c>
      <c r="D59" s="4" t="n">
        <v>810</v>
      </c>
      <c r="E59" s="5" t="n">
        <v>12.083</v>
      </c>
      <c r="G59" s="4" t="n">
        <v>810</v>
      </c>
      <c r="H59" s="5" t="n">
        <v>17.042</v>
      </c>
    </row>
    <row r="60">
      <c r="A60" s="4" t="n">
        <v>825</v>
      </c>
      <c r="B60" s="5" t="n">
        <v>11.072</v>
      </c>
      <c r="D60" s="4" t="n">
        <v>825</v>
      </c>
      <c r="E60" s="5" t="n">
        <v>12.273</v>
      </c>
      <c r="G60" s="4" t="n">
        <v>825</v>
      </c>
      <c r="H60" s="5" t="n">
        <v>17.048</v>
      </c>
    </row>
    <row r="61">
      <c r="A61" s="4" t="n">
        <v>840</v>
      </c>
      <c r="B61" s="5" t="n">
        <v>11.001</v>
      </c>
      <c r="D61" s="4" t="n">
        <v>840</v>
      </c>
      <c r="E61" s="5" t="n">
        <v>12.461</v>
      </c>
      <c r="G61" s="4" t="n">
        <v>840</v>
      </c>
      <c r="H61" s="5" t="n">
        <v>17.056</v>
      </c>
    </row>
    <row r="62">
      <c r="A62" s="4" t="n">
        <v>855</v>
      </c>
      <c r="B62" s="5" t="n">
        <v>10.925</v>
      </c>
      <c r="D62" s="4" t="n">
        <v>855</v>
      </c>
      <c r="E62" s="5" t="n">
        <v>12.611</v>
      </c>
      <c r="G62" s="4" t="n">
        <v>855</v>
      </c>
      <c r="H62" s="5" t="n">
        <v>17.065</v>
      </c>
    </row>
    <row r="63">
      <c r="A63" s="4" t="n">
        <v>870</v>
      </c>
      <c r="B63" s="5" t="n">
        <v>10.862</v>
      </c>
      <c r="D63" s="4" t="n">
        <v>870</v>
      </c>
      <c r="E63" s="5" t="n">
        <v>12.774</v>
      </c>
      <c r="G63" s="4" t="n">
        <v>870</v>
      </c>
      <c r="H63" s="5" t="n">
        <v>17.083</v>
      </c>
    </row>
    <row r="64">
      <c r="A64" s="4" t="n">
        <v>885</v>
      </c>
      <c r="B64" s="5" t="n">
        <v>10.782</v>
      </c>
      <c r="D64" s="4" t="n">
        <v>885</v>
      </c>
      <c r="E64" s="5" t="n">
        <v>12.971</v>
      </c>
      <c r="G64" s="4" t="n">
        <v>885</v>
      </c>
      <c r="H64" s="5" t="n">
        <v>17.094</v>
      </c>
    </row>
    <row r="65">
      <c r="A65" s="4" t="n">
        <v>900</v>
      </c>
      <c r="B65" s="5" t="n">
        <v>10.718</v>
      </c>
      <c r="D65" s="4" t="n">
        <v>900</v>
      </c>
      <c r="E65" s="5" t="n">
        <v>13.118</v>
      </c>
      <c r="G65" s="4" t="n">
        <v>900</v>
      </c>
      <c r="H65" s="5" t="n">
        <v>17.105</v>
      </c>
    </row>
    <row r="66">
      <c r="A66" s="4" t="n">
        <v>915</v>
      </c>
      <c r="B66" s="5" t="n">
        <v>10.645</v>
      </c>
      <c r="D66" s="4" t="n">
        <v>915</v>
      </c>
      <c r="E66" s="5" t="n">
        <v>13.169</v>
      </c>
      <c r="G66" s="4" t="n">
        <v>915</v>
      </c>
      <c r="H66" s="5" t="n">
        <v>17.116</v>
      </c>
    </row>
    <row r="67">
      <c r="A67" s="4" t="n">
        <v>930</v>
      </c>
      <c r="B67" s="5" t="n">
        <v>10.579</v>
      </c>
      <c r="D67" s="4" t="n">
        <v>930</v>
      </c>
      <c r="E67" s="5" t="n">
        <v>13.197</v>
      </c>
      <c r="G67" s="4" t="n">
        <v>930</v>
      </c>
      <c r="H67" s="5" t="n">
        <v>17.167</v>
      </c>
    </row>
    <row r="68">
      <c r="A68" s="4" t="n">
        <v>945</v>
      </c>
      <c r="B68" s="5" t="n">
        <v>10.488</v>
      </c>
      <c r="D68" s="4" t="n">
        <v>945</v>
      </c>
      <c r="E68" s="5" t="n">
        <v>13.209</v>
      </c>
      <c r="G68" s="4" t="n">
        <v>945</v>
      </c>
      <c r="H68" s="5" t="n">
        <v>17.286</v>
      </c>
    </row>
    <row r="69">
      <c r="A69" s="4" t="n">
        <v>960</v>
      </c>
      <c r="B69" s="5" t="n">
        <v>10.421</v>
      </c>
      <c r="D69" s="4" t="n">
        <v>960</v>
      </c>
      <c r="E69" s="5" t="n">
        <v>13.219</v>
      </c>
      <c r="G69" s="4" t="n">
        <v>960</v>
      </c>
      <c r="H69" s="5" t="n">
        <v>17.664</v>
      </c>
    </row>
    <row r="70">
      <c r="A70" s="4" t="n">
        <v>975</v>
      </c>
      <c r="B70" s="5" t="n">
        <v>10.362</v>
      </c>
      <c r="D70" s="4" t="n">
        <v>975</v>
      </c>
      <c r="E70" s="5" t="n">
        <v>13.231</v>
      </c>
      <c r="G70" s="4" t="n">
        <v>975</v>
      </c>
      <c r="H70" s="5" t="n">
        <v>17.987</v>
      </c>
    </row>
    <row r="71">
      <c r="A71" s="4" t="n">
        <v>990</v>
      </c>
      <c r="B71" s="5" t="n">
        <v>10.306</v>
      </c>
      <c r="D71" s="4" t="n">
        <v>990</v>
      </c>
      <c r="E71" s="5" t="n">
        <v>13.237</v>
      </c>
      <c r="G71" s="4" t="n">
        <v>990</v>
      </c>
      <c r="H71" s="5" t="n">
        <v>18.245</v>
      </c>
    </row>
    <row r="72">
      <c r="A72" s="4" t="n">
        <v>1005</v>
      </c>
      <c r="B72" s="5" t="n">
        <v>10.24</v>
      </c>
      <c r="D72" s="4" t="n">
        <v>1005</v>
      </c>
      <c r="E72" s="5" t="n">
        <v>13.273</v>
      </c>
      <c r="G72" s="4" t="n">
        <v>1005</v>
      </c>
      <c r="H72" s="5" t="n">
        <v>18.52</v>
      </c>
    </row>
    <row r="73">
      <c r="A73" s="4" t="n">
        <v>1020</v>
      </c>
      <c r="B73" s="5" t="n">
        <v>10.171</v>
      </c>
      <c r="D73" s="4" t="n">
        <v>1020</v>
      </c>
      <c r="E73" s="5" t="n">
        <v>13.496</v>
      </c>
      <c r="G73" s="4" t="n">
        <v>1020</v>
      </c>
      <c r="H73" s="5" t="n">
        <v>18.784</v>
      </c>
    </row>
    <row r="74">
      <c r="A74" s="4" t="n">
        <v>1035</v>
      </c>
      <c r="B74" s="5" t="n">
        <v>10.106</v>
      </c>
      <c r="D74" s="4" t="n">
        <v>1035</v>
      </c>
      <c r="E74" s="5" t="n">
        <v>13.901</v>
      </c>
      <c r="G74" s="4" t="n">
        <v>1035</v>
      </c>
      <c r="H74" s="5" t="n">
        <v>19.017</v>
      </c>
    </row>
    <row r="75">
      <c r="A75" s="4" t="n">
        <v>1050</v>
      </c>
      <c r="B75" s="5" t="n">
        <v>10.036</v>
      </c>
      <c r="D75" s="4" t="n">
        <v>1050</v>
      </c>
      <c r="E75" s="5" t="n">
        <v>14.164</v>
      </c>
      <c r="G75" s="4" t="n">
        <v>1050</v>
      </c>
      <c r="H75" s="5" t="n">
        <v>19.199</v>
      </c>
    </row>
    <row r="76">
      <c r="A76" s="4" t="n">
        <v>1065</v>
      </c>
      <c r="B76" s="5" t="n">
        <v>9.964</v>
      </c>
      <c r="D76" s="4" t="n">
        <v>1065</v>
      </c>
      <c r="E76" s="5" t="n">
        <v>14.402</v>
      </c>
      <c r="G76" s="4" t="n">
        <v>1065</v>
      </c>
      <c r="H76" s="5" t="n">
        <v>19.397</v>
      </c>
    </row>
    <row r="77">
      <c r="A77" s="4" t="n">
        <v>1080</v>
      </c>
      <c r="B77" s="5" t="n">
        <v>9.898999999999999</v>
      </c>
      <c r="D77" s="4" t="n">
        <v>1080</v>
      </c>
      <c r="E77" s="5" t="n">
        <v>14.625</v>
      </c>
      <c r="G77" s="4" t="n">
        <v>1080</v>
      </c>
      <c r="H77" s="5" t="n">
        <v>19.56</v>
      </c>
    </row>
    <row r="78">
      <c r="A78" s="4" t="n">
        <v>1095</v>
      </c>
      <c r="B78" s="5" t="n">
        <v>9.837999999999999</v>
      </c>
      <c r="D78" s="4" t="n">
        <v>1095</v>
      </c>
      <c r="E78" s="5" t="n">
        <v>14.81</v>
      </c>
      <c r="G78" s="4" t="n">
        <v>1095</v>
      </c>
      <c r="H78" s="5" t="n">
        <v>19.703</v>
      </c>
    </row>
    <row r="79">
      <c r="A79" s="4" t="n">
        <v>1110</v>
      </c>
      <c r="B79" s="5" t="n">
        <v>9.782</v>
      </c>
      <c r="D79" s="4" t="n">
        <v>1110</v>
      </c>
      <c r="E79" s="5" t="n">
        <v>15.002</v>
      </c>
      <c r="G79" s="4" t="n">
        <v>1110</v>
      </c>
      <c r="H79" s="5" t="n">
        <v>19.85</v>
      </c>
    </row>
    <row r="80">
      <c r="A80" s="4" t="n">
        <v>1125</v>
      </c>
      <c r="B80" s="5" t="n">
        <v>9.715999999999999</v>
      </c>
      <c r="D80" s="4" t="n">
        <v>1125</v>
      </c>
      <c r="E80" s="5" t="n">
        <v>15.152</v>
      </c>
      <c r="G80" s="4" t="n">
        <v>1125</v>
      </c>
      <c r="H80" s="5" t="n">
        <v>19.93</v>
      </c>
    </row>
    <row r="81">
      <c r="A81" s="4" t="n">
        <v>1140</v>
      </c>
      <c r="B81" s="5" t="n">
        <v>9.641</v>
      </c>
      <c r="D81" s="4" t="n">
        <v>1140</v>
      </c>
      <c r="E81" s="5" t="n">
        <v>15.235</v>
      </c>
      <c r="G81" s="4" t="n">
        <v>1140</v>
      </c>
      <c r="H81" s="5" t="n">
        <v>19.934</v>
      </c>
    </row>
    <row r="82">
      <c r="A82" s="4" t="n">
        <v>1155</v>
      </c>
      <c r="B82" s="5" t="n">
        <v>9.574999999999999</v>
      </c>
      <c r="D82" s="4" t="n">
        <v>1155</v>
      </c>
      <c r="E82" s="5" t="n">
        <v>15.262</v>
      </c>
      <c r="G82" s="4" t="n">
        <v>1155</v>
      </c>
      <c r="H82" s="5" t="n">
        <v>19.886</v>
      </c>
    </row>
    <row r="83">
      <c r="A83" s="4" t="n">
        <v>1170</v>
      </c>
      <c r="B83" s="5" t="n">
        <v>9.515000000000001</v>
      </c>
      <c r="D83" s="4" t="n">
        <v>1170</v>
      </c>
      <c r="E83" s="5" t="n">
        <v>15.261</v>
      </c>
      <c r="G83" s="4" t="n">
        <v>1170</v>
      </c>
      <c r="H83" s="5" t="n">
        <v>19.826</v>
      </c>
    </row>
    <row r="84">
      <c r="A84" s="4" t="n">
        <v>1185</v>
      </c>
      <c r="B84" s="5" t="n">
        <v>9.456</v>
      </c>
      <c r="D84" s="4" t="n">
        <v>1185</v>
      </c>
      <c r="E84" s="5" t="n">
        <v>15.243</v>
      </c>
      <c r="G84" s="4" t="n">
        <v>1185</v>
      </c>
      <c r="H84" s="5" t="n">
        <v>19.735</v>
      </c>
    </row>
    <row r="85">
      <c r="A85" s="4" t="n">
        <v>1200</v>
      </c>
      <c r="B85" s="5" t="n">
        <v>9.4</v>
      </c>
      <c r="D85" s="4" t="n">
        <v>1200</v>
      </c>
      <c r="E85" s="5" t="n">
        <v>15.201</v>
      </c>
      <c r="G85" s="4" t="n">
        <v>1200</v>
      </c>
      <c r="H85" s="5" t="n">
        <v>19.631</v>
      </c>
    </row>
    <row r="86">
      <c r="A86" s="4" t="n">
        <v>1215</v>
      </c>
      <c r="B86" s="5" t="n">
        <v>9.35</v>
      </c>
      <c r="D86" s="4" t="n">
        <v>1215</v>
      </c>
      <c r="E86" s="5" t="n">
        <v>15.135</v>
      </c>
      <c r="G86" s="4" t="n">
        <v>1215</v>
      </c>
      <c r="H86" s="5" t="n">
        <v>19.503</v>
      </c>
    </row>
    <row r="87">
      <c r="A87" s="4" t="n">
        <v>1230</v>
      </c>
      <c r="B87" s="5" t="n">
        <v>9.295999999999999</v>
      </c>
      <c r="D87" s="4" t="n">
        <v>1230</v>
      </c>
      <c r="E87" s="5" t="n">
        <v>15.071</v>
      </c>
      <c r="G87" s="4" t="n">
        <v>1230</v>
      </c>
      <c r="H87" s="5" t="n">
        <v>19.385</v>
      </c>
    </row>
    <row r="88">
      <c r="A88" s="4" t="n">
        <v>1245</v>
      </c>
      <c r="B88" s="5" t="n">
        <v>9.238</v>
      </c>
      <c r="D88" s="4" t="n">
        <v>1245</v>
      </c>
      <c r="E88" s="5" t="n">
        <v>14.977</v>
      </c>
      <c r="G88" s="4" t="n">
        <v>1245</v>
      </c>
      <c r="H88" s="5" t="n">
        <v>19.238</v>
      </c>
    </row>
    <row r="89">
      <c r="A89" s="4" t="n">
        <v>1260</v>
      </c>
      <c r="B89" s="5" t="n">
        <v>9.196</v>
      </c>
      <c r="D89" s="4" t="n">
        <v>1260</v>
      </c>
      <c r="E89" s="5" t="n">
        <v>14.851</v>
      </c>
      <c r="G89" s="4" t="n">
        <v>1260</v>
      </c>
      <c r="H89" s="5" t="n">
        <v>19.086</v>
      </c>
    </row>
    <row r="90">
      <c r="A90" s="4" t="n">
        <v>1275</v>
      </c>
      <c r="B90" s="5" t="n">
        <v>9.141</v>
      </c>
      <c r="D90" s="4" t="n">
        <v>1275</v>
      </c>
      <c r="E90" s="5" t="n">
        <v>14.714</v>
      </c>
      <c r="G90" s="4" t="n">
        <v>1275</v>
      </c>
      <c r="H90" s="5" t="n">
        <v>18.936</v>
      </c>
    </row>
    <row r="91">
      <c r="A91" s="4" t="n">
        <v>1290</v>
      </c>
      <c r="B91" s="5" t="n">
        <v>9.097</v>
      </c>
      <c r="D91" s="4" t="n">
        <v>1290</v>
      </c>
      <c r="E91" s="5" t="n">
        <v>14.602</v>
      </c>
      <c r="G91" s="4" t="n">
        <v>1290</v>
      </c>
      <c r="H91" s="5" t="n">
        <v>18.821</v>
      </c>
    </row>
    <row r="92">
      <c r="A92" s="4" t="n">
        <v>1305</v>
      </c>
      <c r="B92" s="5" t="n">
        <v>9.151</v>
      </c>
      <c r="D92" s="4" t="n">
        <v>1305</v>
      </c>
      <c r="E92" s="5" t="n">
        <v>14.485</v>
      </c>
      <c r="G92" s="4" t="n">
        <v>1305</v>
      </c>
      <c r="H92" s="5" t="n">
        <v>18.651</v>
      </c>
    </row>
    <row r="93">
      <c r="A93" s="4" t="n">
        <v>1320</v>
      </c>
      <c r="B93" s="5" t="n">
        <v>9.252000000000001</v>
      </c>
      <c r="D93" s="4" t="n">
        <v>1320</v>
      </c>
      <c r="E93" s="5" t="n">
        <v>14.381</v>
      </c>
      <c r="G93" s="4" t="n">
        <v>1320</v>
      </c>
      <c r="H93" s="5" t="n">
        <v>18.507</v>
      </c>
    </row>
    <row r="94">
      <c r="A94" s="4" t="n">
        <v>1335</v>
      </c>
      <c r="B94" s="5" t="n">
        <v>9.256</v>
      </c>
      <c r="D94" s="4" t="n">
        <v>1335</v>
      </c>
      <c r="E94" s="5" t="n">
        <v>14.271</v>
      </c>
      <c r="G94" s="4" t="n">
        <v>1335</v>
      </c>
      <c r="H94" s="5" t="n">
        <v>18.354</v>
      </c>
    </row>
    <row r="95">
      <c r="A95" s="4" t="n">
        <v>1350</v>
      </c>
      <c r="B95" s="5" t="n">
        <v>9.255000000000001</v>
      </c>
      <c r="D95" s="4" t="n">
        <v>1350</v>
      </c>
      <c r="E95" s="5" t="n">
        <v>14.144</v>
      </c>
      <c r="G95" s="4" t="n">
        <v>1350</v>
      </c>
      <c r="H95" s="5" t="n">
        <v>18.196</v>
      </c>
    </row>
    <row r="96">
      <c r="A96" s="4" t="n">
        <v>1365</v>
      </c>
      <c r="B96" s="5" t="n">
        <v>9.255000000000001</v>
      </c>
      <c r="D96" s="4" t="n">
        <v>1365</v>
      </c>
      <c r="E96" s="5" t="n">
        <v>14.003</v>
      </c>
      <c r="G96" s="4" t="n">
        <v>1365</v>
      </c>
      <c r="H96" s="5" t="n">
        <v>18.058</v>
      </c>
    </row>
    <row r="97">
      <c r="A97" s="4" t="n">
        <v>1380</v>
      </c>
      <c r="B97" s="5" t="n">
        <v>9.255000000000001</v>
      </c>
      <c r="D97" s="4" t="n">
        <v>1380</v>
      </c>
      <c r="E97" s="5" t="n">
        <v>13.882</v>
      </c>
      <c r="G97" s="4" t="n">
        <v>1380</v>
      </c>
      <c r="H97" s="5" t="n">
        <v>17.927</v>
      </c>
    </row>
    <row r="98">
      <c r="A98" s="4" t="n">
        <v>1395</v>
      </c>
      <c r="B98" s="5" t="n">
        <v>9.255000000000001</v>
      </c>
      <c r="D98" s="4" t="n">
        <v>1395</v>
      </c>
      <c r="E98" s="5" t="n">
        <v>13.754</v>
      </c>
      <c r="G98" s="4" t="n">
        <v>1395</v>
      </c>
      <c r="H98" s="5" t="n">
        <v>17.787</v>
      </c>
    </row>
    <row r="99">
      <c r="A99" s="4" t="n">
        <v>1410</v>
      </c>
      <c r="B99" s="5" t="n">
        <v>9.254</v>
      </c>
      <c r="D99" s="4" t="n">
        <v>1410</v>
      </c>
      <c r="E99" s="5" t="n">
        <v>13.624</v>
      </c>
      <c r="G99" s="4" t="n">
        <v>1410</v>
      </c>
      <c r="H99" s="5" t="n">
        <v>17.641</v>
      </c>
    </row>
    <row r="100">
      <c r="A100" s="4" t="n">
        <v>1425</v>
      </c>
      <c r="B100" s="5" t="n">
        <v>9.253</v>
      </c>
      <c r="D100" s="4" t="n">
        <v>1425</v>
      </c>
      <c r="E100" s="5" t="n">
        <v>13.487</v>
      </c>
      <c r="G100" s="4" t="n">
        <v>1425</v>
      </c>
      <c r="H100" s="5" t="n">
        <v>17.511</v>
      </c>
    </row>
    <row r="101">
      <c r="A101" s="4" t="n">
        <v>1440</v>
      </c>
      <c r="B101" s="5" t="n">
        <v>9.253</v>
      </c>
      <c r="D101" s="4" t="n">
        <v>1440</v>
      </c>
      <c r="E101" s="5" t="n">
        <v>13.373</v>
      </c>
      <c r="G101" s="4" t="n">
        <v>1440</v>
      </c>
      <c r="H101" s="5" t="n">
        <v>17.334</v>
      </c>
    </row>
    <row r="102">
      <c r="A102" s="4" t="n">
        <v>1455</v>
      </c>
      <c r="B102" s="5" t="n">
        <v>9.253</v>
      </c>
      <c r="D102" s="4" t="n">
        <v>1455</v>
      </c>
      <c r="E102" s="5" t="n">
        <v>13.251</v>
      </c>
      <c r="G102" s="4" t="n">
        <v>1455</v>
      </c>
      <c r="H102" s="5" t="n">
        <v>17.187</v>
      </c>
    </row>
    <row r="103">
      <c r="A103" s="4" t="n">
        <v>1470</v>
      </c>
      <c r="B103" s="5" t="n">
        <v>9.252000000000001</v>
      </c>
      <c r="D103" s="4" t="n">
        <v>1470</v>
      </c>
      <c r="E103" s="5" t="n">
        <v>13.13</v>
      </c>
      <c r="G103" s="4" t="n">
        <v>1470</v>
      </c>
      <c r="H103" s="5" t="n">
        <v>17.051</v>
      </c>
    </row>
    <row r="104">
      <c r="A104" s="4" t="n">
        <v>1485</v>
      </c>
      <c r="B104" s="5" t="n">
        <v>9.253</v>
      </c>
      <c r="D104" s="4" t="n">
        <v>1485</v>
      </c>
      <c r="E104" s="5" t="n">
        <v>13.132</v>
      </c>
      <c r="G104" s="4" t="n">
        <v>1485</v>
      </c>
      <c r="H104" s="5" t="n">
        <v>17.012</v>
      </c>
    </row>
    <row r="105">
      <c r="A105" s="4" t="n">
        <v>1500</v>
      </c>
      <c r="B105" s="5" t="n">
        <v>9.252000000000001</v>
      </c>
      <c r="D105" s="4" t="n">
        <v>1500</v>
      </c>
      <c r="E105" s="5" t="n">
        <v>13.152</v>
      </c>
      <c r="G105" s="4" t="n">
        <v>1500</v>
      </c>
      <c r="H105" s="5" t="n">
        <v>17.014</v>
      </c>
    </row>
    <row r="106">
      <c r="A106" s="4" t="n">
        <v>1515</v>
      </c>
      <c r="B106" s="5" t="n">
        <v>9.25</v>
      </c>
      <c r="D106" s="4" t="n">
        <v>1515</v>
      </c>
      <c r="E106" s="5" t="n">
        <v>13.149</v>
      </c>
      <c r="G106" s="4" t="n">
        <v>1515</v>
      </c>
      <c r="H106" s="5" t="n">
        <v>17.014</v>
      </c>
    </row>
    <row r="107">
      <c r="A107" s="4" t="n">
        <v>1530</v>
      </c>
      <c r="B107" s="5" t="n">
        <v>9.247</v>
      </c>
      <c r="D107" s="4" t="n">
        <v>1530</v>
      </c>
      <c r="E107" s="5" t="n">
        <v>13.143</v>
      </c>
      <c r="G107" s="4" t="n">
        <v>1530</v>
      </c>
      <c r="H107" s="5" t="n">
        <v>17.012</v>
      </c>
    </row>
    <row r="108">
      <c r="A108" s="4" t="n">
        <v>1545</v>
      </c>
      <c r="B108" s="5" t="n">
        <v>9.244999999999999</v>
      </c>
      <c r="D108" s="4" t="n">
        <v>1545</v>
      </c>
      <c r="E108" s="5" t="n">
        <v>13.136</v>
      </c>
      <c r="G108" s="4" t="n">
        <v>1545</v>
      </c>
      <c r="H108" s="5" t="n">
        <v>17.012</v>
      </c>
    </row>
    <row r="109">
      <c r="A109" s="4" t="n">
        <v>1560</v>
      </c>
      <c r="B109" s="5" t="n">
        <v>9.238</v>
      </c>
      <c r="D109" s="4" t="n">
        <v>1560</v>
      </c>
      <c r="E109" s="5" t="n">
        <v>13.13</v>
      </c>
      <c r="G109" s="4" t="n">
        <v>1560</v>
      </c>
      <c r="H109" s="5" t="n">
        <v>17.01</v>
      </c>
    </row>
    <row r="110">
      <c r="A110" s="4" t="n">
        <v>1575</v>
      </c>
      <c r="B110" s="5" t="n">
        <v>9.175000000000001</v>
      </c>
      <c r="D110" s="4" t="n">
        <v>1575</v>
      </c>
      <c r="E110" s="5" t="n">
        <v>13.119</v>
      </c>
      <c r="G110" s="4" t="n">
        <v>1575</v>
      </c>
      <c r="H110" s="5" t="n">
        <v>17.006</v>
      </c>
    </row>
    <row r="111">
      <c r="A111" s="4" t="n">
        <v>1590</v>
      </c>
      <c r="B111" s="5" t="n">
        <v>8.972</v>
      </c>
      <c r="D111" s="4" t="n">
        <v>1590</v>
      </c>
      <c r="E111" s="5" t="n">
        <v>13.092</v>
      </c>
      <c r="G111" s="4" t="n">
        <v>1590</v>
      </c>
      <c r="H111" s="5" t="n">
        <v>17.008</v>
      </c>
    </row>
    <row r="112">
      <c r="A112" s="4" t="n">
        <v>1605</v>
      </c>
      <c r="B112" s="5" t="n">
        <v>8.826000000000001</v>
      </c>
      <c r="D112" s="4" t="n">
        <v>1605</v>
      </c>
      <c r="E112" s="5" t="n">
        <v>12.783</v>
      </c>
      <c r="G112" s="4" t="n">
        <v>1605</v>
      </c>
      <c r="H112" s="5" t="n">
        <v>17.001</v>
      </c>
    </row>
    <row r="113">
      <c r="A113" s="4" t="n">
        <v>1620</v>
      </c>
      <c r="B113" s="5" t="n">
        <v>8.711</v>
      </c>
      <c r="D113" s="4" t="n">
        <v>1620</v>
      </c>
      <c r="E113" s="5" t="n">
        <v>12.51</v>
      </c>
      <c r="G113" s="4" t="n">
        <v>1620</v>
      </c>
      <c r="H113" s="5" t="n">
        <v>17</v>
      </c>
    </row>
    <row r="114">
      <c r="A114" s="4" t="n">
        <v>1635</v>
      </c>
      <c r="B114" s="5" t="n">
        <v>8.616</v>
      </c>
      <c r="D114" s="4" t="n">
        <v>1635</v>
      </c>
      <c r="E114" s="5" t="n">
        <v>12.322</v>
      </c>
      <c r="G114" s="4" t="n">
        <v>1635</v>
      </c>
      <c r="H114" s="5" t="n">
        <v>16.994</v>
      </c>
    </row>
    <row r="115">
      <c r="A115" s="4" t="n">
        <v>1650</v>
      </c>
      <c r="B115" s="5" t="n">
        <v>8.526999999999999</v>
      </c>
      <c r="D115" s="4" t="n">
        <v>1650</v>
      </c>
      <c r="E115" s="5" t="n">
        <v>12.151</v>
      </c>
      <c r="G115" s="4" t="n">
        <v>1650</v>
      </c>
      <c r="H115" s="5" t="n">
        <v>16.987</v>
      </c>
    </row>
    <row r="116">
      <c r="A116" s="4" t="n">
        <v>1665</v>
      </c>
      <c r="B116" s="5" t="n">
        <v>8.441000000000001</v>
      </c>
      <c r="D116" s="4" t="n">
        <v>1665</v>
      </c>
      <c r="E116" s="5" t="n">
        <v>11.988</v>
      </c>
      <c r="G116" s="4" t="n">
        <v>1665</v>
      </c>
      <c r="H116" s="5" t="n">
        <v>16.978</v>
      </c>
    </row>
    <row r="117">
      <c r="A117" s="4" t="n">
        <v>1680</v>
      </c>
      <c r="B117" s="5" t="n">
        <v>8.356999999999999</v>
      </c>
      <c r="D117" s="4" t="n">
        <v>1680</v>
      </c>
      <c r="E117" s="5" t="n">
        <v>11.848</v>
      </c>
      <c r="G117" s="4" t="n">
        <v>1680</v>
      </c>
      <c r="H117" s="5" t="n">
        <v>16.969</v>
      </c>
    </row>
    <row r="118">
      <c r="A118" s="4" t="n">
        <v>1695</v>
      </c>
      <c r="B118" s="5" t="n">
        <v>8.284000000000001</v>
      </c>
      <c r="D118" s="4" t="n">
        <v>1695</v>
      </c>
      <c r="E118" s="5" t="n">
        <v>11.726</v>
      </c>
      <c r="G118" s="4" t="n">
        <v>1695</v>
      </c>
      <c r="H118" s="5" t="n">
        <v>16.963</v>
      </c>
    </row>
    <row r="119">
      <c r="A119" s="4" t="n">
        <v>1710</v>
      </c>
      <c r="B119" s="5" t="n">
        <v>8.212</v>
      </c>
      <c r="D119" s="4" t="n">
        <v>1710</v>
      </c>
      <c r="E119" s="5" t="n">
        <v>11.601</v>
      </c>
      <c r="G119" s="4" t="n">
        <v>1710</v>
      </c>
      <c r="H119" s="5" t="n">
        <v>16.945</v>
      </c>
    </row>
    <row r="120">
      <c r="A120" s="4" t="n">
        <v>1725</v>
      </c>
      <c r="B120" s="5" t="n">
        <v>8.145</v>
      </c>
      <c r="D120" s="4" t="n">
        <v>1725</v>
      </c>
      <c r="E120" s="5" t="n">
        <v>11.499</v>
      </c>
      <c r="G120" s="4" t="n">
        <v>1725</v>
      </c>
      <c r="H120" s="5" t="n">
        <v>16.731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" customWidth="1" min="4" max="4"/>
    <col width="20" customWidth="1" min="5" max="5"/>
    <col width="14" customWidth="1" min="6" max="6"/>
  </cols>
  <sheetData>
    <row r="1">
      <c r="A1" s="2" t="inlineStr">
        <is>
          <t>スズ（Sn，融点 231.97 ℃）の冷却データ（起電力が最大となった時点を0 sとした）</t>
        </is>
      </c>
    </row>
    <row r="3">
      <c r="A3" s="3" t="inlineStr">
        <is>
          <t>時間 [s]</t>
        </is>
      </c>
      <c r="B3" s="3" t="inlineStr">
        <is>
          <t>熱起電力 [mV]</t>
        </is>
      </c>
      <c r="C3" s="3" t="inlineStr">
        <is>
          <t>融点とみなした区間 [mV]</t>
        </is>
      </c>
      <c r="E3" s="3" t="inlineStr">
        <is>
          <t>プラトーの統計</t>
        </is>
      </c>
      <c r="F3" s="3" t="inlineStr">
        <is>
          <t>値</t>
        </is>
      </c>
    </row>
    <row r="4">
      <c r="A4" s="4" t="n">
        <v>0</v>
      </c>
      <c r="B4" s="5" t="n">
        <v>13.054</v>
      </c>
      <c r="C4" s="5" t="n"/>
      <c r="E4" s="6" t="inlineStr">
        <is>
          <t>区間 [s]</t>
        </is>
      </c>
      <c r="F4" s="6" t="inlineStr">
        <is>
          <t>930〜1170</t>
        </is>
      </c>
    </row>
    <row r="5">
      <c r="A5" s="4" t="n">
        <v>15</v>
      </c>
      <c r="B5" s="5" t="n">
        <v>13.047</v>
      </c>
      <c r="C5" s="5" t="n"/>
      <c r="E5" s="6" t="inlineStr">
        <is>
          <t>点数</t>
        </is>
      </c>
      <c r="F5" s="4">
        <f>COUNT(C66:C82)</f>
        <v/>
      </c>
    </row>
    <row r="6">
      <c r="A6" s="4" t="n">
        <v>30</v>
      </c>
      <c r="B6" s="5" t="n">
        <v>13.027</v>
      </c>
      <c r="C6" s="5" t="n"/>
      <c r="E6" s="6" t="inlineStr">
        <is>
          <t>平均 [mV]</t>
        </is>
      </c>
      <c r="F6" s="5">
        <f>AVERAGE(C66:C82)</f>
        <v/>
      </c>
    </row>
    <row r="7">
      <c r="A7" s="4" t="n">
        <v>45</v>
      </c>
      <c r="B7" s="5" t="n">
        <v>12.984</v>
      </c>
      <c r="C7" s="5" t="n"/>
      <c r="E7" s="6" t="inlineStr">
        <is>
          <t>標準偏差 [mV]</t>
        </is>
      </c>
      <c r="F7" s="5">
        <f>STDEV(C66:C82)</f>
        <v/>
      </c>
    </row>
    <row r="8">
      <c r="A8" s="4" t="n">
        <v>60</v>
      </c>
      <c r="B8" s="5" t="n">
        <v>12.927</v>
      </c>
      <c r="C8" s="5" t="n"/>
      <c r="E8" s="6" t="inlineStr">
        <is>
          <t>（計算値）平均 [mV]</t>
        </is>
      </c>
      <c r="F8" s="5" t="n">
        <v>9.251647</v>
      </c>
    </row>
    <row r="9">
      <c r="A9" s="4" t="n">
        <v>75</v>
      </c>
      <c r="B9" s="5" t="n">
        <v>12.878</v>
      </c>
      <c r="C9" s="5" t="n"/>
    </row>
    <row r="10">
      <c r="A10" s="4" t="n">
        <v>90</v>
      </c>
      <c r="B10" s="5" t="n">
        <v>12.817</v>
      </c>
      <c r="C10" s="5" t="n"/>
      <c r="E10" s="8" t="inlineStr">
        <is>
          <t>判定基準：隣り合う測定値の差が 0.02 mV 以下の状態が最も長く続いた区間</t>
        </is>
      </c>
    </row>
    <row r="11">
      <c r="A11" s="4" t="n">
        <v>105</v>
      </c>
      <c r="B11" s="5" t="n">
        <v>12.767</v>
      </c>
      <c r="C11" s="5" t="n"/>
    </row>
    <row r="12">
      <c r="A12" s="4" t="n">
        <v>120</v>
      </c>
      <c r="B12" s="5" t="n">
        <v>12.706</v>
      </c>
      <c r="C12" s="5" t="n"/>
      <c r="E12" s="3" t="inlineStr">
        <is>
          <t>平均線 x [s]</t>
        </is>
      </c>
      <c r="F12" s="3" t="inlineStr">
        <is>
          <t>平均線 y [mV]</t>
        </is>
      </c>
    </row>
    <row r="13">
      <c r="A13" s="4" t="n">
        <v>135</v>
      </c>
      <c r="B13" s="5" t="n">
        <v>12.643</v>
      </c>
      <c r="C13" s="5" t="n"/>
      <c r="E13" s="6" t="n">
        <v>0</v>
      </c>
      <c r="F13" s="5" t="n">
        <v>9.251647</v>
      </c>
    </row>
    <row r="14">
      <c r="A14" s="4" t="n">
        <v>150</v>
      </c>
      <c r="B14" s="5" t="n">
        <v>12.483</v>
      </c>
      <c r="C14" s="5" t="n"/>
      <c r="E14" s="6" t="n">
        <v>1335</v>
      </c>
      <c r="F14" s="5" t="n">
        <v>9.251647</v>
      </c>
    </row>
    <row r="15">
      <c r="A15" s="4" t="n">
        <v>165</v>
      </c>
      <c r="B15" s="5" t="n">
        <v>12.511</v>
      </c>
      <c r="C15" s="5" t="n"/>
    </row>
    <row r="16">
      <c r="A16" s="4" t="n">
        <v>180</v>
      </c>
      <c r="B16" s="5" t="n">
        <v>12.446</v>
      </c>
      <c r="C16" s="5" t="n"/>
    </row>
    <row r="17">
      <c r="A17" s="4" t="n">
        <v>195</v>
      </c>
      <c r="B17" s="5" t="n">
        <v>12.377</v>
      </c>
      <c r="C17" s="5" t="n"/>
    </row>
    <row r="18">
      <c r="A18" s="4" t="n">
        <v>210</v>
      </c>
      <c r="B18" s="5" t="n">
        <v>12.295</v>
      </c>
      <c r="C18" s="5" t="n"/>
    </row>
    <row r="19">
      <c r="A19" s="4" t="n">
        <v>225</v>
      </c>
      <c r="B19" s="5" t="n">
        <v>12.221</v>
      </c>
      <c r="C19" s="5" t="n"/>
    </row>
    <row r="20">
      <c r="A20" s="4" t="n">
        <v>240</v>
      </c>
      <c r="B20" s="5" t="n">
        <v>12.141</v>
      </c>
      <c r="C20" s="5" t="n"/>
    </row>
    <row r="21">
      <c r="A21" s="4" t="n">
        <v>255</v>
      </c>
      <c r="B21" s="5" t="n">
        <v>12.05</v>
      </c>
      <c r="C21" s="5" t="n"/>
    </row>
    <row r="22">
      <c r="A22" s="4" t="n">
        <v>270</v>
      </c>
      <c r="B22" s="5" t="n">
        <v>11.966</v>
      </c>
      <c r="C22" s="5" t="n"/>
    </row>
    <row r="23">
      <c r="A23" s="4" t="n">
        <v>285</v>
      </c>
      <c r="B23" s="5" t="n">
        <v>11.821</v>
      </c>
      <c r="C23" s="5" t="n"/>
    </row>
    <row r="24">
      <c r="A24" s="4" t="n">
        <v>300</v>
      </c>
      <c r="B24" s="5" t="n">
        <v>11.742</v>
      </c>
      <c r="C24" s="5" t="n"/>
    </row>
    <row r="25">
      <c r="A25" s="4" t="n">
        <v>315</v>
      </c>
      <c r="B25" s="5" t="n">
        <v>11.664</v>
      </c>
      <c r="C25" s="5" t="n"/>
    </row>
    <row r="26">
      <c r="A26" s="4" t="n">
        <v>330</v>
      </c>
      <c r="B26" s="5" t="n">
        <v>11.57</v>
      </c>
      <c r="C26" s="5" t="n"/>
    </row>
    <row r="27">
      <c r="A27" s="4" t="n">
        <v>345</v>
      </c>
      <c r="B27" s="5" t="n">
        <v>11.503</v>
      </c>
      <c r="C27" s="5" t="n"/>
    </row>
    <row r="28">
      <c r="A28" s="4" t="n">
        <v>360</v>
      </c>
      <c r="B28" s="5" t="n">
        <v>11.422</v>
      </c>
      <c r="C28" s="5" t="n"/>
    </row>
    <row r="29">
      <c r="A29" s="4" t="n">
        <v>375</v>
      </c>
      <c r="B29" s="5" t="n">
        <v>11.348</v>
      </c>
      <c r="C29" s="5" t="n"/>
    </row>
    <row r="30">
      <c r="A30" s="4" t="n">
        <v>390</v>
      </c>
      <c r="B30" s="5" t="n">
        <v>11.288</v>
      </c>
      <c r="C30" s="5" t="n"/>
    </row>
    <row r="31">
      <c r="A31" s="4" t="n">
        <v>405</v>
      </c>
      <c r="B31" s="5" t="n">
        <v>11.218</v>
      </c>
      <c r="C31" s="5" t="n"/>
    </row>
    <row r="32">
      <c r="A32" s="4" t="n">
        <v>420</v>
      </c>
      <c r="B32" s="5" t="n">
        <v>11.143</v>
      </c>
      <c r="C32" s="5" t="n"/>
    </row>
    <row r="33">
      <c r="A33" s="4" t="n">
        <v>435</v>
      </c>
      <c r="B33" s="5" t="n">
        <v>11.072</v>
      </c>
      <c r="C33" s="5" t="n"/>
    </row>
    <row r="34">
      <c r="A34" s="4" t="n">
        <v>450</v>
      </c>
      <c r="B34" s="5" t="n">
        <v>11.001</v>
      </c>
      <c r="C34" s="5" t="n"/>
    </row>
    <row r="35">
      <c r="A35" s="4" t="n">
        <v>465</v>
      </c>
      <c r="B35" s="5" t="n">
        <v>10.925</v>
      </c>
      <c r="C35" s="5" t="n"/>
    </row>
    <row r="36">
      <c r="A36" s="4" t="n">
        <v>480</v>
      </c>
      <c r="B36" s="5" t="n">
        <v>10.862</v>
      </c>
      <c r="C36" s="5" t="n"/>
    </row>
    <row r="37">
      <c r="A37" s="4" t="n">
        <v>495</v>
      </c>
      <c r="B37" s="5" t="n">
        <v>10.782</v>
      </c>
      <c r="C37" s="5" t="n"/>
    </row>
    <row r="38">
      <c r="A38" s="4" t="n">
        <v>510</v>
      </c>
      <c r="B38" s="5" t="n">
        <v>10.718</v>
      </c>
      <c r="C38" s="5" t="n"/>
    </row>
    <row r="39">
      <c r="A39" s="4" t="n">
        <v>525</v>
      </c>
      <c r="B39" s="5" t="n">
        <v>10.645</v>
      </c>
      <c r="C39" s="5" t="n"/>
    </row>
    <row r="40">
      <c r="A40" s="4" t="n">
        <v>540</v>
      </c>
      <c r="B40" s="5" t="n">
        <v>10.579</v>
      </c>
      <c r="C40" s="5" t="n"/>
    </row>
    <row r="41">
      <c r="A41" s="4" t="n">
        <v>555</v>
      </c>
      <c r="B41" s="5" t="n">
        <v>10.488</v>
      </c>
      <c r="C41" s="5" t="n"/>
    </row>
    <row r="42">
      <c r="A42" s="4" t="n">
        <v>570</v>
      </c>
      <c r="B42" s="5" t="n">
        <v>10.421</v>
      </c>
      <c r="C42" s="5" t="n"/>
    </row>
    <row r="43">
      <c r="A43" s="4" t="n">
        <v>585</v>
      </c>
      <c r="B43" s="5" t="n">
        <v>10.362</v>
      </c>
      <c r="C43" s="5" t="n"/>
    </row>
    <row r="44">
      <c r="A44" s="4" t="n">
        <v>600</v>
      </c>
      <c r="B44" s="5" t="n">
        <v>10.306</v>
      </c>
      <c r="C44" s="5" t="n"/>
    </row>
    <row r="45">
      <c r="A45" s="4" t="n">
        <v>615</v>
      </c>
      <c r="B45" s="5" t="n">
        <v>10.24</v>
      </c>
      <c r="C45" s="5" t="n"/>
    </row>
    <row r="46">
      <c r="A46" s="4" t="n">
        <v>630</v>
      </c>
      <c r="B46" s="5" t="n">
        <v>10.171</v>
      </c>
      <c r="C46" s="5" t="n"/>
    </row>
    <row r="47">
      <c r="A47" s="4" t="n">
        <v>645</v>
      </c>
      <c r="B47" s="5" t="n">
        <v>10.106</v>
      </c>
      <c r="C47" s="5" t="n"/>
    </row>
    <row r="48">
      <c r="A48" s="4" t="n">
        <v>660</v>
      </c>
      <c r="B48" s="5" t="n">
        <v>10.036</v>
      </c>
      <c r="C48" s="5" t="n"/>
    </row>
    <row r="49">
      <c r="A49" s="4" t="n">
        <v>675</v>
      </c>
      <c r="B49" s="5" t="n">
        <v>9.964</v>
      </c>
      <c r="C49" s="5" t="n"/>
    </row>
    <row r="50">
      <c r="A50" s="4" t="n">
        <v>690</v>
      </c>
      <c r="B50" s="5" t="n">
        <v>9.898999999999999</v>
      </c>
      <c r="C50" s="5" t="n"/>
    </row>
    <row r="51">
      <c r="A51" s="4" t="n">
        <v>705</v>
      </c>
      <c r="B51" s="5" t="n">
        <v>9.837999999999999</v>
      </c>
      <c r="C51" s="5" t="n"/>
    </row>
    <row r="52">
      <c r="A52" s="4" t="n">
        <v>720</v>
      </c>
      <c r="B52" s="5" t="n">
        <v>9.782</v>
      </c>
      <c r="C52" s="5" t="n"/>
    </row>
    <row r="53">
      <c r="A53" s="4" t="n">
        <v>735</v>
      </c>
      <c r="B53" s="5" t="n">
        <v>9.715999999999999</v>
      </c>
      <c r="C53" s="5" t="n"/>
    </row>
    <row r="54">
      <c r="A54" s="4" t="n">
        <v>750</v>
      </c>
      <c r="B54" s="5" t="n">
        <v>9.641</v>
      </c>
      <c r="C54" s="5" t="n"/>
    </row>
    <row r="55">
      <c r="A55" s="4" t="n">
        <v>765</v>
      </c>
      <c r="B55" s="5" t="n">
        <v>9.574999999999999</v>
      </c>
      <c r="C55" s="5" t="n"/>
    </row>
    <row r="56">
      <c r="A56" s="4" t="n">
        <v>780</v>
      </c>
      <c r="B56" s="5" t="n">
        <v>9.515000000000001</v>
      </c>
      <c r="C56" s="5" t="n"/>
    </row>
    <row r="57">
      <c r="A57" s="4" t="n">
        <v>795</v>
      </c>
      <c r="B57" s="5" t="n">
        <v>9.456</v>
      </c>
      <c r="C57" s="5" t="n"/>
    </row>
    <row r="58">
      <c r="A58" s="4" t="n">
        <v>810</v>
      </c>
      <c r="B58" s="5" t="n">
        <v>9.4</v>
      </c>
      <c r="C58" s="5" t="n"/>
    </row>
    <row r="59">
      <c r="A59" s="4" t="n">
        <v>825</v>
      </c>
      <c r="B59" s="5" t="n">
        <v>9.35</v>
      </c>
      <c r="C59" s="5" t="n"/>
    </row>
    <row r="60">
      <c r="A60" s="4" t="n">
        <v>840</v>
      </c>
      <c r="B60" s="5" t="n">
        <v>9.295999999999999</v>
      </c>
      <c r="C60" s="5" t="n"/>
    </row>
    <row r="61">
      <c r="A61" s="4" t="n">
        <v>855</v>
      </c>
      <c r="B61" s="5" t="n">
        <v>9.238</v>
      </c>
      <c r="C61" s="5" t="n"/>
    </row>
    <row r="62">
      <c r="A62" s="4" t="n">
        <v>870</v>
      </c>
      <c r="B62" s="5" t="n">
        <v>9.196</v>
      </c>
      <c r="C62" s="5" t="n"/>
    </row>
    <row r="63">
      <c r="A63" s="4" t="n">
        <v>885</v>
      </c>
      <c r="B63" s="5" t="n">
        <v>9.141</v>
      </c>
      <c r="C63" s="5" t="n"/>
    </row>
    <row r="64">
      <c r="A64" s="4" t="n">
        <v>900</v>
      </c>
      <c r="B64" s="5" t="n">
        <v>9.097</v>
      </c>
      <c r="C64" s="5" t="n"/>
    </row>
    <row r="65">
      <c r="A65" s="4" t="n">
        <v>915</v>
      </c>
      <c r="B65" s="5" t="n">
        <v>9.151</v>
      </c>
      <c r="C65" s="5" t="n"/>
    </row>
    <row r="66">
      <c r="A66" s="4" t="n">
        <v>930</v>
      </c>
      <c r="B66" s="5" t="n">
        <v>9.252000000000001</v>
      </c>
      <c r="C66" s="5" t="n">
        <v>9.252000000000001</v>
      </c>
    </row>
    <row r="67">
      <c r="A67" s="4" t="n">
        <v>945</v>
      </c>
      <c r="B67" s="5" t="n">
        <v>9.256</v>
      </c>
      <c r="C67" s="5" t="n">
        <v>9.256</v>
      </c>
    </row>
    <row r="68">
      <c r="A68" s="4" t="n">
        <v>960</v>
      </c>
      <c r="B68" s="5" t="n">
        <v>9.255000000000001</v>
      </c>
      <c r="C68" s="5" t="n">
        <v>9.255000000000001</v>
      </c>
    </row>
    <row r="69">
      <c r="A69" s="4" t="n">
        <v>975</v>
      </c>
      <c r="B69" s="5" t="n">
        <v>9.255000000000001</v>
      </c>
      <c r="C69" s="5" t="n">
        <v>9.255000000000001</v>
      </c>
    </row>
    <row r="70">
      <c r="A70" s="4" t="n">
        <v>990</v>
      </c>
      <c r="B70" s="5" t="n">
        <v>9.255000000000001</v>
      </c>
      <c r="C70" s="5" t="n">
        <v>9.255000000000001</v>
      </c>
    </row>
    <row r="71">
      <c r="A71" s="4" t="n">
        <v>1005</v>
      </c>
      <c r="B71" s="5" t="n">
        <v>9.255000000000001</v>
      </c>
      <c r="C71" s="5" t="n">
        <v>9.255000000000001</v>
      </c>
    </row>
    <row r="72">
      <c r="A72" s="4" t="n">
        <v>1020</v>
      </c>
      <c r="B72" s="5" t="n">
        <v>9.254</v>
      </c>
      <c r="C72" s="5" t="n">
        <v>9.254</v>
      </c>
    </row>
    <row r="73">
      <c r="A73" s="4" t="n">
        <v>1035</v>
      </c>
      <c r="B73" s="5" t="n">
        <v>9.253</v>
      </c>
      <c r="C73" s="5" t="n">
        <v>9.253</v>
      </c>
    </row>
    <row r="74">
      <c r="A74" s="4" t="n">
        <v>1050</v>
      </c>
      <c r="B74" s="5" t="n">
        <v>9.253</v>
      </c>
      <c r="C74" s="5" t="n">
        <v>9.253</v>
      </c>
    </row>
    <row r="75">
      <c r="A75" s="4" t="n">
        <v>1065</v>
      </c>
      <c r="B75" s="5" t="n">
        <v>9.253</v>
      </c>
      <c r="C75" s="5" t="n">
        <v>9.253</v>
      </c>
    </row>
    <row r="76">
      <c r="A76" s="4" t="n">
        <v>1080</v>
      </c>
      <c r="B76" s="5" t="n">
        <v>9.252000000000001</v>
      </c>
      <c r="C76" s="5" t="n">
        <v>9.252000000000001</v>
      </c>
    </row>
    <row r="77">
      <c r="A77" s="4" t="n">
        <v>1095</v>
      </c>
      <c r="B77" s="5" t="n">
        <v>9.253</v>
      </c>
      <c r="C77" s="5" t="n">
        <v>9.253</v>
      </c>
    </row>
    <row r="78">
      <c r="A78" s="4" t="n">
        <v>1110</v>
      </c>
      <c r="B78" s="5" t="n">
        <v>9.252000000000001</v>
      </c>
      <c r="C78" s="5" t="n">
        <v>9.252000000000001</v>
      </c>
    </row>
    <row r="79">
      <c r="A79" s="4" t="n">
        <v>1125</v>
      </c>
      <c r="B79" s="5" t="n">
        <v>9.25</v>
      </c>
      <c r="C79" s="5" t="n">
        <v>9.25</v>
      </c>
    </row>
    <row r="80">
      <c r="A80" s="4" t="n">
        <v>1140</v>
      </c>
      <c r="B80" s="5" t="n">
        <v>9.247</v>
      </c>
      <c r="C80" s="5" t="n">
        <v>9.247</v>
      </c>
    </row>
    <row r="81">
      <c r="A81" s="4" t="n">
        <v>1155</v>
      </c>
      <c r="B81" s="5" t="n">
        <v>9.244999999999999</v>
      </c>
      <c r="C81" s="5" t="n">
        <v>9.244999999999999</v>
      </c>
    </row>
    <row r="82">
      <c r="A82" s="4" t="n">
        <v>1170</v>
      </c>
      <c r="B82" s="5" t="n">
        <v>9.238</v>
      </c>
      <c r="C82" s="5" t="n">
        <v>9.238</v>
      </c>
    </row>
    <row r="83">
      <c r="A83" s="4" t="n">
        <v>1185</v>
      </c>
      <c r="B83" s="5" t="n">
        <v>9.175000000000001</v>
      </c>
      <c r="C83" s="5" t="n"/>
    </row>
    <row r="84">
      <c r="A84" s="4" t="n">
        <v>1200</v>
      </c>
      <c r="B84" s="5" t="n">
        <v>8.972</v>
      </c>
      <c r="C84" s="5" t="n"/>
    </row>
    <row r="85">
      <c r="A85" s="4" t="n">
        <v>1215</v>
      </c>
      <c r="B85" s="5" t="n">
        <v>8.826000000000001</v>
      </c>
      <c r="C85" s="5" t="n"/>
    </row>
    <row r="86">
      <c r="A86" s="4" t="n">
        <v>1230</v>
      </c>
      <c r="B86" s="5" t="n">
        <v>8.711</v>
      </c>
      <c r="C86" s="5" t="n"/>
    </row>
    <row r="87">
      <c r="A87" s="4" t="n">
        <v>1245</v>
      </c>
      <c r="B87" s="5" t="n">
        <v>8.616</v>
      </c>
      <c r="C87" s="5" t="n"/>
    </row>
    <row r="88">
      <c r="A88" s="4" t="n">
        <v>1260</v>
      </c>
      <c r="B88" s="5" t="n">
        <v>8.526999999999999</v>
      </c>
      <c r="C88" s="5" t="n"/>
    </row>
    <row r="89">
      <c r="A89" s="4" t="n">
        <v>1275</v>
      </c>
      <c r="B89" s="5" t="n">
        <v>8.441000000000001</v>
      </c>
      <c r="C89" s="5" t="n"/>
    </row>
    <row r="90">
      <c r="A90" s="4" t="n">
        <v>1290</v>
      </c>
      <c r="B90" s="5" t="n">
        <v>8.356999999999999</v>
      </c>
      <c r="C90" s="5" t="n"/>
    </row>
    <row r="91">
      <c r="A91" s="4" t="n">
        <v>1305</v>
      </c>
      <c r="B91" s="5" t="n">
        <v>8.284000000000001</v>
      </c>
      <c r="C91" s="5" t="n"/>
    </row>
    <row r="92">
      <c r="A92" s="4" t="n">
        <v>1320</v>
      </c>
      <c r="B92" s="5" t="n">
        <v>8.212</v>
      </c>
      <c r="C92" s="5" t="n"/>
    </row>
    <row r="93">
      <c r="A93" s="4" t="n">
        <v>1335</v>
      </c>
      <c r="B93" s="5" t="n">
        <v>8.145</v>
      </c>
      <c r="C93" s="5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" customWidth="1" min="4" max="4"/>
    <col width="20" customWidth="1" min="5" max="5"/>
    <col width="14" customWidth="1" min="6" max="6"/>
  </cols>
  <sheetData>
    <row r="1">
      <c r="A1" s="2" t="inlineStr">
        <is>
          <t>鉛（Pb，融点 327.52 ℃）の冷却データ（起電力が最大となった時点を0 sとした）</t>
        </is>
      </c>
    </row>
    <row r="3">
      <c r="A3" s="3" t="inlineStr">
        <is>
          <t>時間 [s]</t>
        </is>
      </c>
      <c r="B3" s="3" t="inlineStr">
        <is>
          <t>熱起電力 [mV]</t>
        </is>
      </c>
      <c r="C3" s="3" t="inlineStr">
        <is>
          <t>融点とみなした区間 [mV]</t>
        </is>
      </c>
      <c r="E3" s="3" t="inlineStr">
        <is>
          <t>プラトーの統計</t>
        </is>
      </c>
      <c r="F3" s="3" t="inlineStr">
        <is>
          <t>値</t>
        </is>
      </c>
    </row>
    <row r="4">
      <c r="A4" s="4" t="n">
        <v>0</v>
      </c>
      <c r="B4" s="5" t="n">
        <v>15.262</v>
      </c>
      <c r="C4" s="5" t="n"/>
      <c r="E4" s="6" t="inlineStr">
        <is>
          <t>区間 [s]</t>
        </is>
      </c>
      <c r="F4" s="6" t="inlineStr">
        <is>
          <t>315〜420</t>
        </is>
      </c>
    </row>
    <row r="5">
      <c r="A5" s="4" t="n">
        <v>15</v>
      </c>
      <c r="B5" s="5" t="n">
        <v>15.261</v>
      </c>
      <c r="C5" s="5" t="n"/>
      <c r="E5" s="6" t="inlineStr">
        <is>
          <t>点数</t>
        </is>
      </c>
      <c r="F5" s="4">
        <f>COUNT(C25:C32)</f>
        <v/>
      </c>
    </row>
    <row r="6">
      <c r="A6" s="4" t="n">
        <v>30</v>
      </c>
      <c r="B6" s="5" t="n">
        <v>15.243</v>
      </c>
      <c r="C6" s="5" t="n"/>
      <c r="E6" s="6" t="inlineStr">
        <is>
          <t>平均 [mV]</t>
        </is>
      </c>
      <c r="F6" s="5">
        <f>AVERAGE(C25:C32)</f>
        <v/>
      </c>
    </row>
    <row r="7">
      <c r="A7" s="4" t="n">
        <v>45</v>
      </c>
      <c r="B7" s="5" t="n">
        <v>15.201</v>
      </c>
      <c r="C7" s="5" t="n"/>
      <c r="E7" s="6" t="inlineStr">
        <is>
          <t>標準偏差 [mV]</t>
        </is>
      </c>
      <c r="F7" s="5">
        <f>STDEV(C25:C32)</f>
        <v/>
      </c>
    </row>
    <row r="8">
      <c r="A8" s="4" t="n">
        <v>60</v>
      </c>
      <c r="B8" s="5" t="n">
        <v>15.135</v>
      </c>
      <c r="C8" s="5" t="n"/>
      <c r="E8" s="6" t="inlineStr">
        <is>
          <t>（計算値）平均 [mV]</t>
        </is>
      </c>
      <c r="F8" s="5" t="n">
        <v>13.136375</v>
      </c>
    </row>
    <row r="9">
      <c r="A9" s="4" t="n">
        <v>75</v>
      </c>
      <c r="B9" s="5" t="n">
        <v>15.071</v>
      </c>
      <c r="C9" s="5" t="n"/>
    </row>
    <row r="10">
      <c r="A10" s="4" t="n">
        <v>90</v>
      </c>
      <c r="B10" s="5" t="n">
        <v>14.977</v>
      </c>
      <c r="C10" s="5" t="n"/>
      <c r="E10" s="8" t="inlineStr">
        <is>
          <t>判定基準：隣り合う測定値の差が 0.02 mV 以下の状態が最も長く続いた区間</t>
        </is>
      </c>
    </row>
    <row r="11">
      <c r="A11" s="4" t="n">
        <v>105</v>
      </c>
      <c r="B11" s="5" t="n">
        <v>14.851</v>
      </c>
      <c r="C11" s="5" t="n"/>
    </row>
    <row r="12">
      <c r="A12" s="4" t="n">
        <v>120</v>
      </c>
      <c r="B12" s="5" t="n">
        <v>14.714</v>
      </c>
      <c r="C12" s="5" t="n"/>
      <c r="E12" s="3" t="inlineStr">
        <is>
          <t>平均線 x [s]</t>
        </is>
      </c>
      <c r="F12" s="3" t="inlineStr">
        <is>
          <t>平均線 y [mV]</t>
        </is>
      </c>
    </row>
    <row r="13">
      <c r="A13" s="4" t="n">
        <v>135</v>
      </c>
      <c r="B13" s="5" t="n">
        <v>14.602</v>
      </c>
      <c r="C13" s="5" t="n"/>
      <c r="E13" s="6" t="n">
        <v>0</v>
      </c>
      <c r="F13" s="5" t="n">
        <v>13.136375</v>
      </c>
    </row>
    <row r="14">
      <c r="A14" s="4" t="n">
        <v>150</v>
      </c>
      <c r="B14" s="5" t="n">
        <v>14.485</v>
      </c>
      <c r="C14" s="5" t="n"/>
      <c r="E14" s="6" t="n">
        <v>570</v>
      </c>
      <c r="F14" s="5" t="n">
        <v>13.136375</v>
      </c>
    </row>
    <row r="15">
      <c r="A15" s="4" t="n">
        <v>165</v>
      </c>
      <c r="B15" s="5" t="n">
        <v>14.381</v>
      </c>
      <c r="C15" s="5" t="n"/>
    </row>
    <row r="16">
      <c r="A16" s="4" t="n">
        <v>180</v>
      </c>
      <c r="B16" s="5" t="n">
        <v>14.271</v>
      </c>
      <c r="C16" s="5" t="n"/>
    </row>
    <row r="17">
      <c r="A17" s="4" t="n">
        <v>195</v>
      </c>
      <c r="B17" s="5" t="n">
        <v>14.144</v>
      </c>
      <c r="C17" s="5" t="n"/>
    </row>
    <row r="18">
      <c r="A18" s="4" t="n">
        <v>210</v>
      </c>
      <c r="B18" s="5" t="n">
        <v>14.003</v>
      </c>
      <c r="C18" s="5" t="n"/>
    </row>
    <row r="19">
      <c r="A19" s="4" t="n">
        <v>225</v>
      </c>
      <c r="B19" s="5" t="n">
        <v>13.882</v>
      </c>
      <c r="C19" s="5" t="n"/>
    </row>
    <row r="20">
      <c r="A20" s="4" t="n">
        <v>240</v>
      </c>
      <c r="B20" s="5" t="n">
        <v>13.754</v>
      </c>
      <c r="C20" s="5" t="n"/>
    </row>
    <row r="21">
      <c r="A21" s="4" t="n">
        <v>255</v>
      </c>
      <c r="B21" s="5" t="n">
        <v>13.624</v>
      </c>
      <c r="C21" s="5" t="n"/>
    </row>
    <row r="22">
      <c r="A22" s="4" t="n">
        <v>270</v>
      </c>
      <c r="B22" s="5" t="n">
        <v>13.487</v>
      </c>
      <c r="C22" s="5" t="n"/>
    </row>
    <row r="23">
      <c r="A23" s="4" t="n">
        <v>285</v>
      </c>
      <c r="B23" s="5" t="n">
        <v>13.373</v>
      </c>
      <c r="C23" s="5" t="n"/>
    </row>
    <row r="24">
      <c r="A24" s="4" t="n">
        <v>300</v>
      </c>
      <c r="B24" s="5" t="n">
        <v>13.251</v>
      </c>
      <c r="C24" s="5" t="n"/>
    </row>
    <row r="25">
      <c r="A25" s="4" t="n">
        <v>315</v>
      </c>
      <c r="B25" s="5" t="n">
        <v>13.13</v>
      </c>
      <c r="C25" s="5" t="n">
        <v>13.13</v>
      </c>
    </row>
    <row r="26">
      <c r="A26" s="4" t="n">
        <v>330</v>
      </c>
      <c r="B26" s="5" t="n">
        <v>13.132</v>
      </c>
      <c r="C26" s="5" t="n">
        <v>13.132</v>
      </c>
    </row>
    <row r="27">
      <c r="A27" s="4" t="n">
        <v>345</v>
      </c>
      <c r="B27" s="5" t="n">
        <v>13.152</v>
      </c>
      <c r="C27" s="5" t="n">
        <v>13.152</v>
      </c>
    </row>
    <row r="28">
      <c r="A28" s="4" t="n">
        <v>360</v>
      </c>
      <c r="B28" s="5" t="n">
        <v>13.149</v>
      </c>
      <c r="C28" s="5" t="n">
        <v>13.149</v>
      </c>
    </row>
    <row r="29">
      <c r="A29" s="4" t="n">
        <v>375</v>
      </c>
      <c r="B29" s="5" t="n">
        <v>13.143</v>
      </c>
      <c r="C29" s="5" t="n">
        <v>13.143</v>
      </c>
    </row>
    <row r="30">
      <c r="A30" s="4" t="n">
        <v>390</v>
      </c>
      <c r="B30" s="5" t="n">
        <v>13.136</v>
      </c>
      <c r="C30" s="5" t="n">
        <v>13.136</v>
      </c>
    </row>
    <row r="31">
      <c r="A31" s="4" t="n">
        <v>405</v>
      </c>
      <c r="B31" s="5" t="n">
        <v>13.13</v>
      </c>
      <c r="C31" s="5" t="n">
        <v>13.13</v>
      </c>
    </row>
    <row r="32">
      <c r="A32" s="4" t="n">
        <v>420</v>
      </c>
      <c r="B32" s="5" t="n">
        <v>13.119</v>
      </c>
      <c r="C32" s="5" t="n">
        <v>13.119</v>
      </c>
    </row>
    <row r="33">
      <c r="A33" s="4" t="n">
        <v>435</v>
      </c>
      <c r="B33" s="5" t="n">
        <v>13.092</v>
      </c>
      <c r="C33" s="5" t="n"/>
    </row>
    <row r="34">
      <c r="A34" s="4" t="n">
        <v>450</v>
      </c>
      <c r="B34" s="5" t="n">
        <v>12.783</v>
      </c>
      <c r="C34" s="5" t="n"/>
    </row>
    <row r="35">
      <c r="A35" s="4" t="n">
        <v>465</v>
      </c>
      <c r="B35" s="5" t="n">
        <v>12.51</v>
      </c>
      <c r="C35" s="5" t="n"/>
    </row>
    <row r="36">
      <c r="A36" s="4" t="n">
        <v>480</v>
      </c>
      <c r="B36" s="5" t="n">
        <v>12.322</v>
      </c>
      <c r="C36" s="5" t="n"/>
    </row>
    <row r="37">
      <c r="A37" s="4" t="n">
        <v>495</v>
      </c>
      <c r="B37" s="5" t="n">
        <v>12.151</v>
      </c>
      <c r="C37" s="5" t="n"/>
    </row>
    <row r="38">
      <c r="A38" s="4" t="n">
        <v>510</v>
      </c>
      <c r="B38" s="5" t="n">
        <v>11.988</v>
      </c>
      <c r="C38" s="5" t="n"/>
    </row>
    <row r="39">
      <c r="A39" s="4" t="n">
        <v>525</v>
      </c>
      <c r="B39" s="5" t="n">
        <v>11.848</v>
      </c>
      <c r="C39" s="5" t="n"/>
    </row>
    <row r="40">
      <c r="A40" s="4" t="n">
        <v>540</v>
      </c>
      <c r="B40" s="5" t="n">
        <v>11.726</v>
      </c>
      <c r="C40" s="5" t="n"/>
    </row>
    <row r="41">
      <c r="A41" s="4" t="n">
        <v>555</v>
      </c>
      <c r="B41" s="5" t="n">
        <v>11.601</v>
      </c>
      <c r="C41" s="5" t="n"/>
    </row>
    <row r="42">
      <c r="A42" s="4" t="n">
        <v>570</v>
      </c>
      <c r="B42" s="5" t="n">
        <v>11.499</v>
      </c>
      <c r="C42" s="5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" customWidth="1" min="4" max="4"/>
    <col width="20" customWidth="1" min="5" max="5"/>
    <col width="14" customWidth="1" min="6" max="6"/>
  </cols>
  <sheetData>
    <row r="1">
      <c r="A1" s="2" t="inlineStr">
        <is>
          <t>亜鉛（Zn，融点 419.58 ℃）の冷却データ（起電力が最大となった時点を0 sとした）</t>
        </is>
      </c>
    </row>
    <row r="3">
      <c r="A3" s="3" t="inlineStr">
        <is>
          <t>時間 [s]</t>
        </is>
      </c>
      <c r="B3" s="3" t="inlineStr">
        <is>
          <t>熱起電力 [mV]</t>
        </is>
      </c>
      <c r="C3" s="3" t="inlineStr">
        <is>
          <t>融点とみなした区間 [mV]</t>
        </is>
      </c>
      <c r="E3" s="3" t="inlineStr">
        <is>
          <t>プラトーの統計</t>
        </is>
      </c>
      <c r="F3" s="3" t="inlineStr">
        <is>
          <t>値</t>
        </is>
      </c>
    </row>
    <row r="4">
      <c r="A4" s="4" t="n">
        <v>0</v>
      </c>
      <c r="B4" s="5" t="n">
        <v>19.934</v>
      </c>
      <c r="C4" s="5" t="n"/>
      <c r="E4" s="6" t="inlineStr">
        <is>
          <t>区間 [s]</t>
        </is>
      </c>
      <c r="F4" s="6" t="inlineStr">
        <is>
          <t>345〜570</t>
        </is>
      </c>
    </row>
    <row r="5">
      <c r="A5" s="4" t="n">
        <v>15</v>
      </c>
      <c r="B5" s="5" t="n">
        <v>19.886</v>
      </c>
      <c r="C5" s="5" t="n"/>
      <c r="E5" s="6" t="inlineStr">
        <is>
          <t>点数</t>
        </is>
      </c>
      <c r="F5" s="4">
        <f>COUNT(C27:C42)</f>
        <v/>
      </c>
    </row>
    <row r="6">
      <c r="A6" s="4" t="n">
        <v>30</v>
      </c>
      <c r="B6" s="5" t="n">
        <v>19.826</v>
      </c>
      <c r="C6" s="5" t="n"/>
      <c r="E6" s="6" t="inlineStr">
        <is>
          <t>平均 [mV]</t>
        </is>
      </c>
      <c r="F6" s="5">
        <f>AVERAGE(C27:C42)</f>
        <v/>
      </c>
    </row>
    <row r="7">
      <c r="A7" s="4" t="n">
        <v>45</v>
      </c>
      <c r="B7" s="5" t="n">
        <v>19.735</v>
      </c>
      <c r="C7" s="5" t="n"/>
      <c r="E7" s="6" t="inlineStr">
        <is>
          <t>標準偏差 [mV]</t>
        </is>
      </c>
      <c r="F7" s="5">
        <f>STDEV(C27:C42)</f>
        <v/>
      </c>
    </row>
    <row r="8">
      <c r="A8" s="4" t="n">
        <v>60</v>
      </c>
      <c r="B8" s="5" t="n">
        <v>19.631</v>
      </c>
      <c r="C8" s="5" t="n"/>
      <c r="E8" s="6" t="inlineStr">
        <is>
          <t>（計算値）平均 [mV]</t>
        </is>
      </c>
      <c r="F8" s="5" t="n">
        <v>16.995312</v>
      </c>
    </row>
    <row r="9">
      <c r="A9" s="4" t="n">
        <v>75</v>
      </c>
      <c r="B9" s="5" t="n">
        <v>19.503</v>
      </c>
      <c r="C9" s="5" t="n"/>
    </row>
    <row r="10">
      <c r="A10" s="4" t="n">
        <v>90</v>
      </c>
      <c r="B10" s="5" t="n">
        <v>19.385</v>
      </c>
      <c r="C10" s="5" t="n"/>
      <c r="E10" s="8" t="inlineStr">
        <is>
          <t>判定基準：隣り合う測定値の差が 0.02 mV 以下の状態が最も長く続いた区間</t>
        </is>
      </c>
    </row>
    <row r="11">
      <c r="A11" s="4" t="n">
        <v>105</v>
      </c>
      <c r="B11" s="5" t="n">
        <v>19.238</v>
      </c>
      <c r="C11" s="5" t="n"/>
    </row>
    <row r="12">
      <c r="A12" s="4" t="n">
        <v>120</v>
      </c>
      <c r="B12" s="5" t="n">
        <v>19.086</v>
      </c>
      <c r="C12" s="5" t="n"/>
      <c r="E12" s="3" t="inlineStr">
        <is>
          <t>平均線 x [s]</t>
        </is>
      </c>
      <c r="F12" s="3" t="inlineStr">
        <is>
          <t>平均線 y [mV]</t>
        </is>
      </c>
    </row>
    <row r="13">
      <c r="A13" s="4" t="n">
        <v>135</v>
      </c>
      <c r="B13" s="5" t="n">
        <v>18.936</v>
      </c>
      <c r="C13" s="5" t="n"/>
      <c r="E13" s="6" t="n">
        <v>0</v>
      </c>
      <c r="F13" s="5" t="n">
        <v>16.995312</v>
      </c>
    </row>
    <row r="14">
      <c r="A14" s="4" t="n">
        <v>150</v>
      </c>
      <c r="B14" s="5" t="n">
        <v>18.821</v>
      </c>
      <c r="C14" s="5" t="n"/>
      <c r="E14" s="6" t="n">
        <v>585</v>
      </c>
      <c r="F14" s="5" t="n">
        <v>16.995312</v>
      </c>
    </row>
    <row r="15">
      <c r="A15" s="4" t="n">
        <v>165</v>
      </c>
      <c r="B15" s="5" t="n">
        <v>18.651</v>
      </c>
      <c r="C15" s="5" t="n"/>
    </row>
    <row r="16">
      <c r="A16" s="4" t="n">
        <v>180</v>
      </c>
      <c r="B16" s="5" t="n">
        <v>18.507</v>
      </c>
      <c r="C16" s="5" t="n"/>
    </row>
    <row r="17">
      <c r="A17" s="4" t="n">
        <v>195</v>
      </c>
      <c r="B17" s="5" t="n">
        <v>18.354</v>
      </c>
      <c r="C17" s="5" t="n"/>
    </row>
    <row r="18">
      <c r="A18" s="4" t="n">
        <v>210</v>
      </c>
      <c r="B18" s="5" t="n">
        <v>18.196</v>
      </c>
      <c r="C18" s="5" t="n"/>
    </row>
    <row r="19">
      <c r="A19" s="4" t="n">
        <v>225</v>
      </c>
      <c r="B19" s="5" t="n">
        <v>18.058</v>
      </c>
      <c r="C19" s="5" t="n"/>
    </row>
    <row r="20">
      <c r="A20" s="4" t="n">
        <v>240</v>
      </c>
      <c r="B20" s="5" t="n">
        <v>17.927</v>
      </c>
      <c r="C20" s="5" t="n"/>
    </row>
    <row r="21">
      <c r="A21" s="4" t="n">
        <v>255</v>
      </c>
      <c r="B21" s="5" t="n">
        <v>17.787</v>
      </c>
      <c r="C21" s="5" t="n"/>
    </row>
    <row r="22">
      <c r="A22" s="4" t="n">
        <v>270</v>
      </c>
      <c r="B22" s="5" t="n">
        <v>17.641</v>
      </c>
      <c r="C22" s="5" t="n"/>
    </row>
    <row r="23">
      <c r="A23" s="4" t="n">
        <v>285</v>
      </c>
      <c r="B23" s="5" t="n">
        <v>17.511</v>
      </c>
      <c r="C23" s="5" t="n"/>
    </row>
    <row r="24">
      <c r="A24" s="4" t="n">
        <v>300</v>
      </c>
      <c r="B24" s="5" t="n">
        <v>17.334</v>
      </c>
      <c r="C24" s="5" t="n"/>
    </row>
    <row r="25">
      <c r="A25" s="4" t="n">
        <v>315</v>
      </c>
      <c r="B25" s="5" t="n">
        <v>17.187</v>
      </c>
      <c r="C25" s="5" t="n"/>
    </row>
    <row r="26">
      <c r="A26" s="4" t="n">
        <v>330</v>
      </c>
      <c r="B26" s="5" t="n">
        <v>17.051</v>
      </c>
      <c r="C26" s="5" t="n"/>
    </row>
    <row r="27">
      <c r="A27" s="4" t="n">
        <v>345</v>
      </c>
      <c r="B27" s="5" t="n">
        <v>17.012</v>
      </c>
      <c r="C27" s="5" t="n">
        <v>17.012</v>
      </c>
    </row>
    <row r="28">
      <c r="A28" s="4" t="n">
        <v>360</v>
      </c>
      <c r="B28" s="5" t="n">
        <v>17.014</v>
      </c>
      <c r="C28" s="5" t="n">
        <v>17.014</v>
      </c>
    </row>
    <row r="29">
      <c r="A29" s="4" t="n">
        <v>375</v>
      </c>
      <c r="B29" s="5" t="n">
        <v>17.014</v>
      </c>
      <c r="C29" s="5" t="n">
        <v>17.014</v>
      </c>
    </row>
    <row r="30">
      <c r="A30" s="4" t="n">
        <v>390</v>
      </c>
      <c r="B30" s="5" t="n">
        <v>17.012</v>
      </c>
      <c r="C30" s="5" t="n">
        <v>17.012</v>
      </c>
    </row>
    <row r="31">
      <c r="A31" s="4" t="n">
        <v>405</v>
      </c>
      <c r="B31" s="5" t="n">
        <v>17.012</v>
      </c>
      <c r="C31" s="5" t="n">
        <v>17.012</v>
      </c>
    </row>
    <row r="32">
      <c r="A32" s="4" t="n">
        <v>420</v>
      </c>
      <c r="B32" s="5" t="n">
        <v>17.01</v>
      </c>
      <c r="C32" s="5" t="n">
        <v>17.01</v>
      </c>
    </row>
    <row r="33">
      <c r="A33" s="4" t="n">
        <v>435</v>
      </c>
      <c r="B33" s="5" t="n">
        <v>17.006</v>
      </c>
      <c r="C33" s="5" t="n">
        <v>17.006</v>
      </c>
    </row>
    <row r="34">
      <c r="A34" s="4" t="n">
        <v>450</v>
      </c>
      <c r="B34" s="5" t="n">
        <v>17.008</v>
      </c>
      <c r="C34" s="5" t="n">
        <v>17.008</v>
      </c>
    </row>
    <row r="35">
      <c r="A35" s="4" t="n">
        <v>465</v>
      </c>
      <c r="B35" s="5" t="n">
        <v>17.001</v>
      </c>
      <c r="C35" s="5" t="n">
        <v>17.001</v>
      </c>
    </row>
    <row r="36">
      <c r="A36" s="4" t="n">
        <v>480</v>
      </c>
      <c r="B36" s="5" t="n">
        <v>17</v>
      </c>
      <c r="C36" s="5" t="n">
        <v>17</v>
      </c>
    </row>
    <row r="37">
      <c r="A37" s="4" t="n">
        <v>495</v>
      </c>
      <c r="B37" s="5" t="n">
        <v>16.994</v>
      </c>
      <c r="C37" s="5" t="n">
        <v>16.994</v>
      </c>
    </row>
    <row r="38">
      <c r="A38" s="4" t="n">
        <v>510</v>
      </c>
      <c r="B38" s="5" t="n">
        <v>16.987</v>
      </c>
      <c r="C38" s="5" t="n">
        <v>16.987</v>
      </c>
    </row>
    <row r="39">
      <c r="A39" s="4" t="n">
        <v>525</v>
      </c>
      <c r="B39" s="5" t="n">
        <v>16.978</v>
      </c>
      <c r="C39" s="5" t="n">
        <v>16.978</v>
      </c>
    </row>
    <row r="40">
      <c r="A40" s="4" t="n">
        <v>540</v>
      </c>
      <c r="B40" s="5" t="n">
        <v>16.969</v>
      </c>
      <c r="C40" s="5" t="n">
        <v>16.969</v>
      </c>
    </row>
    <row r="41">
      <c r="A41" s="4" t="n">
        <v>555</v>
      </c>
      <c r="B41" s="5" t="n">
        <v>16.963</v>
      </c>
      <c r="C41" s="5" t="n">
        <v>16.963</v>
      </c>
    </row>
    <row r="42">
      <c r="A42" s="4" t="n">
        <v>570</v>
      </c>
      <c r="B42" s="5" t="n">
        <v>16.945</v>
      </c>
      <c r="C42" s="5" t="n">
        <v>16.945</v>
      </c>
    </row>
    <row r="43">
      <c r="A43" s="4" t="n">
        <v>585</v>
      </c>
      <c r="B43" s="5" t="n">
        <v>16.731</v>
      </c>
      <c r="C43" s="5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2" t="inlineStr">
        <is>
          <t>熱電対の検定：最小二乗法（x：温度 t [℃]，y：熱起電力 E [mV]，N＝5）</t>
        </is>
      </c>
    </row>
    <row r="2">
      <c r="K2" s="8" t="inlineStr">
        <is>
          <t>近似式の値（L列＝$B$17·t＋$B$18，M列＝$B$20·t²＋$B$21·t＋$B$22）</t>
        </is>
      </c>
    </row>
    <row r="3">
      <c r="A3" s="3" t="inlineStr">
        <is>
          <t>定点</t>
        </is>
      </c>
      <c r="B3" s="3" t="inlineStr">
        <is>
          <t>t</t>
        </is>
      </c>
      <c r="C3" s="3" t="inlineStr">
        <is>
          <t>E</t>
        </is>
      </c>
      <c r="D3" s="3" t="inlineStr">
        <is>
          <t>t²</t>
        </is>
      </c>
      <c r="E3" s="3" t="inlineStr">
        <is>
          <t>tE</t>
        </is>
      </c>
      <c r="F3" s="3" t="inlineStr">
        <is>
          <t>t³</t>
        </is>
      </c>
      <c r="G3" s="3" t="inlineStr">
        <is>
          <t>t⁴</t>
        </is>
      </c>
      <c r="H3" s="3" t="inlineStr">
        <is>
          <t>t²E</t>
        </is>
      </c>
      <c r="K3" s="3" t="inlineStr">
        <is>
          <t>t [℃]</t>
        </is>
      </c>
      <c r="L3" s="3" t="inlineStr">
        <is>
          <t>1次式 E [mV]</t>
        </is>
      </c>
      <c r="M3" s="3" t="inlineStr">
        <is>
          <t>2次式 E [mV]</t>
        </is>
      </c>
    </row>
    <row r="4">
      <c r="A4" s="6" t="inlineStr">
        <is>
          <t>0 ℃（氷水）</t>
        </is>
      </c>
      <c r="B4" s="9" t="n">
        <v>0</v>
      </c>
      <c r="C4" s="5" t="n">
        <v>0.027</v>
      </c>
      <c r="D4" s="10">
        <f>B4^2</f>
        <v/>
      </c>
      <c r="E4" s="10">
        <f>B4*C4</f>
        <v/>
      </c>
      <c r="F4" s="10">
        <f>B4^3</f>
        <v/>
      </c>
      <c r="G4" s="10">
        <f>B4^4</f>
        <v/>
      </c>
      <c r="H4" s="10">
        <f>B4^2*C4</f>
        <v/>
      </c>
      <c r="K4" s="4" t="n">
        <v>0</v>
      </c>
      <c r="L4" s="5" t="n">
        <v>-0.0806011502222308</v>
      </c>
      <c r="M4" s="5" t="n">
        <v>-0.03968384147205128</v>
      </c>
    </row>
    <row r="5">
      <c r="A5" s="6" t="inlineStr">
        <is>
          <t>室温</t>
        </is>
      </c>
      <c r="B5" s="9" t="n">
        <v>24.5</v>
      </c>
      <c r="C5" s="5" t="n">
        <v>0.84</v>
      </c>
      <c r="D5" s="10">
        <f>B5^2</f>
        <v/>
      </c>
      <c r="E5" s="10">
        <f>B5*C5</f>
        <v/>
      </c>
      <c r="F5" s="10">
        <f>B5^3</f>
        <v/>
      </c>
      <c r="G5" s="10">
        <f>B5^4</f>
        <v/>
      </c>
      <c r="H5" s="10">
        <f>B5^2*C5</f>
        <v/>
      </c>
      <c r="K5" s="4" t="n">
        <v>10</v>
      </c>
      <c r="L5" s="5" t="n">
        <v>0.3244860914244374</v>
      </c>
      <c r="M5" s="5" t="n">
        <v>0.351795615451295</v>
      </c>
    </row>
    <row r="6">
      <c r="A6" s="6" t="inlineStr">
        <is>
          <t>スズ（Sn）の融点</t>
        </is>
      </c>
      <c r="B6" s="9" t="n">
        <v>231.97</v>
      </c>
      <c r="C6" s="5" t="n">
        <v>9.251647058823529</v>
      </c>
      <c r="D6" s="10">
        <f>B6^2</f>
        <v/>
      </c>
      <c r="E6" s="10">
        <f>B6*C6</f>
        <v/>
      </c>
      <c r="F6" s="10">
        <f>B6^3</f>
        <v/>
      </c>
      <c r="G6" s="10">
        <f>B6^4</f>
        <v/>
      </c>
      <c r="H6" s="10">
        <f>B6^2*C6</f>
        <v/>
      </c>
      <c r="K6" s="4" t="n">
        <v>20</v>
      </c>
      <c r="L6" s="5" t="n">
        <v>0.7295733330711056</v>
      </c>
      <c r="M6" s="5" t="n">
        <v>0.7439836964383801</v>
      </c>
    </row>
    <row r="7">
      <c r="A7" s="6" t="inlineStr">
        <is>
          <t>鉛（Pb）の融点</t>
        </is>
      </c>
      <c r="B7" s="9" t="n">
        <v>327.52</v>
      </c>
      <c r="C7" s="5" t="n">
        <v>13.136375</v>
      </c>
      <c r="D7" s="10">
        <f>B7^2</f>
        <v/>
      </c>
      <c r="E7" s="10">
        <f>B7*C7</f>
        <v/>
      </c>
      <c r="F7" s="10">
        <f>B7^3</f>
        <v/>
      </c>
      <c r="G7" s="10">
        <f>B7^4</f>
        <v/>
      </c>
      <c r="H7" s="10">
        <f>B7^2*C7</f>
        <v/>
      </c>
      <c r="K7" s="4" t="n">
        <v>30</v>
      </c>
      <c r="L7" s="5" t="n">
        <v>1.134660574717774</v>
      </c>
      <c r="M7" s="5" t="n">
        <v>1.136880401489204</v>
      </c>
    </row>
    <row r="8">
      <c r="A8" s="6" t="inlineStr">
        <is>
          <t>亜鉛（Zn）の融点</t>
        </is>
      </c>
      <c r="B8" s="9" t="n">
        <v>419.58</v>
      </c>
      <c r="C8" s="5" t="n">
        <v>16.9953125</v>
      </c>
      <c r="D8" s="10">
        <f>B8^2</f>
        <v/>
      </c>
      <c r="E8" s="10">
        <f>B8*C8</f>
        <v/>
      </c>
      <c r="F8" s="10">
        <f>B8^3</f>
        <v/>
      </c>
      <c r="G8" s="10">
        <f>B8^4</f>
        <v/>
      </c>
      <c r="H8" s="10">
        <f>B8^2*C8</f>
        <v/>
      </c>
      <c r="K8" s="4" t="n">
        <v>40</v>
      </c>
      <c r="L8" s="5" t="n">
        <v>1.539747816364442</v>
      </c>
      <c r="M8" s="5" t="n">
        <v>1.530485730603767</v>
      </c>
    </row>
    <row r="9">
      <c r="A9" s="6" t="inlineStr">
        <is>
          <t>平均</t>
        </is>
      </c>
      <c r="B9" s="11">
        <f>AVERAGE(B4:B8)</f>
        <v/>
      </c>
      <c r="C9" s="11">
        <f>AVERAGE(C4:C8)</f>
        <v/>
      </c>
      <c r="D9" s="11">
        <f>AVERAGE(D4:D8)</f>
        <v/>
      </c>
      <c r="E9" s="11">
        <f>AVERAGE(E4:E8)</f>
        <v/>
      </c>
      <c r="F9" s="11">
        <f>AVERAGE(F4:F8)</f>
        <v/>
      </c>
      <c r="G9" s="11">
        <f>AVERAGE(G4:G8)</f>
        <v/>
      </c>
      <c r="H9" s="11">
        <f>AVERAGE(H4:H8)</f>
        <v/>
      </c>
      <c r="K9" s="4" t="n">
        <v>50</v>
      </c>
      <c r="L9" s="5" t="n">
        <v>1.94483505801111</v>
      </c>
      <c r="M9" s="5" t="n">
        <v>1.924799683782069</v>
      </c>
    </row>
    <row r="10">
      <c r="K10" s="4" t="n">
        <v>60</v>
      </c>
      <c r="L10" s="5" t="n">
        <v>2.349922299657778</v>
      </c>
      <c r="M10" s="5" t="n">
        <v>2.31982226102411</v>
      </c>
    </row>
    <row r="11">
      <c r="A11" s="3" t="inlineStr">
        <is>
          <t>量</t>
        </is>
      </c>
      <c r="B11" s="3" t="inlineStr">
        <is>
          <t>値（数式）</t>
        </is>
      </c>
      <c r="C11" s="3" t="inlineStr">
        <is>
          <t>検算（Python）</t>
        </is>
      </c>
      <c r="K11" s="4" t="n">
        <v>70</v>
      </c>
      <c r="L11" s="5" t="n">
        <v>2.755009541304446</v>
      </c>
      <c r="M11" s="5" t="n">
        <v>2.71555346232989</v>
      </c>
    </row>
    <row r="12">
      <c r="A12" s="6" t="inlineStr">
        <is>
          <t>S_t（tの分散）</t>
        </is>
      </c>
      <c r="B12" s="11">
        <f>D9-B9^2</f>
        <v/>
      </c>
      <c r="C12" s="11" t="n">
        <v>27259.301744</v>
      </c>
      <c r="K12" s="4" t="n">
        <v>80</v>
      </c>
      <c r="L12" s="5" t="n">
        <v>3.160096782951115</v>
      </c>
      <c r="M12" s="5" t="n">
        <v>3.111993287699409</v>
      </c>
    </row>
    <row r="13">
      <c r="A13" s="6" t="inlineStr">
        <is>
          <t>S_tE（tとEの共分散）</t>
        </is>
      </c>
      <c r="B13" s="11">
        <f>E9-B9*C9</f>
        <v/>
      </c>
      <c r="C13" s="11" t="n">
        <v>1104.239535269117</v>
      </c>
      <c r="K13" s="4" t="n">
        <v>90</v>
      </c>
      <c r="L13" s="5" t="n">
        <v>3.565184024597783</v>
      </c>
      <c r="M13" s="5" t="n">
        <v>3.509141737132667</v>
      </c>
    </row>
    <row r="14">
      <c r="A14" s="6" t="inlineStr">
        <is>
          <t>S_t²（t²の分散）</t>
        </is>
      </c>
      <c r="B14" s="11">
        <f>G9-D9^2</f>
        <v/>
      </c>
      <c r="C14" s="11" t="n">
        <v>4516672855.709694</v>
      </c>
      <c r="K14" s="4" t="n">
        <v>100</v>
      </c>
      <c r="L14" s="5" t="n">
        <v>3.970271266244451</v>
      </c>
      <c r="M14" s="5" t="n">
        <v>3.906998810629664</v>
      </c>
    </row>
    <row r="15">
      <c r="A15" s="6" t="inlineStr">
        <is>
          <t>S_t²E（t²とEの共分散）</t>
        </is>
      </c>
      <c r="B15" s="11">
        <f>H9-D9*C9</f>
        <v/>
      </c>
      <c r="C15" s="11" t="n">
        <v>436144.2527758091</v>
      </c>
      <c r="K15" s="4" t="n">
        <v>110</v>
      </c>
      <c r="L15" s="5" t="n">
        <v>4.375358507891119</v>
      </c>
      <c r="M15" s="5" t="n">
        <v>4.305564508190399</v>
      </c>
    </row>
    <row r="16">
      <c r="A16" s="6" t="inlineStr">
        <is>
          <t>S_tt²（tとt²の共分散）</t>
        </is>
      </c>
      <c r="B16" s="11">
        <f>F9-B9*D9</f>
        <v/>
      </c>
      <c r="C16" s="11" t="n">
        <v>10741859.55301904</v>
      </c>
      <c r="K16" s="4" t="n">
        <v>120</v>
      </c>
      <c r="L16" s="5" t="n">
        <v>4.780445749537788</v>
      </c>
      <c r="M16" s="5" t="n">
        <v>4.704838829814874</v>
      </c>
    </row>
    <row r="17">
      <c r="A17" s="6" t="inlineStr">
        <is>
          <t>1次式 a [mV/℃]</t>
        </is>
      </c>
      <c r="B17" s="11">
        <f>B13/B12</f>
        <v/>
      </c>
      <c r="C17" s="11" t="n">
        <v>0.04050872416466682</v>
      </c>
      <c r="K17" s="4" t="n">
        <v>130</v>
      </c>
      <c r="L17" s="5" t="n">
        <v>5.185532991184456</v>
      </c>
      <c r="M17" s="5" t="n">
        <v>5.104821775503087</v>
      </c>
    </row>
    <row r="18">
      <c r="A18" s="6" t="inlineStr">
        <is>
          <t>1次式 b [mV]</t>
        </is>
      </c>
      <c r="B18" s="11">
        <f>C9-B17*B9</f>
        <v/>
      </c>
      <c r="C18" s="11" t="n">
        <v>-0.0806011502222308</v>
      </c>
      <c r="K18" s="4" t="n">
        <v>140</v>
      </c>
      <c r="L18" s="5" t="n">
        <v>5.590620232831124</v>
      </c>
      <c r="M18" s="5" t="n">
        <v>5.50551334525504</v>
      </c>
    </row>
    <row r="19">
      <c r="A19" s="6" t="inlineStr">
        <is>
          <t>分母 S_t·S_t² − S_tt²²</t>
        </is>
      </c>
      <c r="B19" s="11">
        <f>B12*B14-B16^2</f>
        <v/>
      </c>
      <c r="C19" s="11" t="n">
        <v>7733801595938.422</v>
      </c>
      <c r="K19" s="4" t="n">
        <v>150</v>
      </c>
      <c r="L19" s="5" t="n">
        <v>5.995707474477792</v>
      </c>
      <c r="M19" s="5" t="n">
        <v>5.906913539070731</v>
      </c>
    </row>
    <row r="20">
      <c r="A20" s="6" t="inlineStr">
        <is>
          <t>2次式 a [mV/℃²]</t>
        </is>
      </c>
      <c r="B20" s="11">
        <f>(B12*B15-B13*B16)/B19</f>
        <v/>
      </c>
      <c r="C20" s="11" t="n">
        <v>3.543120318694724e-06</v>
      </c>
      <c r="K20" s="4" t="n">
        <v>160</v>
      </c>
      <c r="L20" s="5" t="n">
        <v>6.40079471612446</v>
      </c>
      <c r="M20" s="5" t="n">
        <v>6.309022356950162</v>
      </c>
    </row>
    <row r="21">
      <c r="A21" s="6" t="inlineStr">
        <is>
          <t>2次式 b [mV/℃]</t>
        </is>
      </c>
      <c r="B21" s="11">
        <f>(B13*B14-B16*B15)/B19</f>
        <v/>
      </c>
      <c r="C21" s="11" t="n">
        <v>0.03911251448914767</v>
      </c>
      <c r="K21" s="4" t="n">
        <v>170</v>
      </c>
      <c r="L21" s="5" t="n">
        <v>6.805881957771128</v>
      </c>
      <c r="M21" s="5" t="n">
        <v>6.71183979889333</v>
      </c>
    </row>
    <row r="22">
      <c r="A22" s="6" t="inlineStr">
        <is>
          <t>2次式 c [mV]</t>
        </is>
      </c>
      <c r="B22" s="11">
        <f>C9-B20*D9-B21*B9</f>
        <v/>
      </c>
      <c r="C22" s="11" t="n">
        <v>-0.03968384147205128</v>
      </c>
      <c r="K22" s="4" t="n">
        <v>180</v>
      </c>
      <c r="L22" s="5" t="n">
        <v>7.210969199417796</v>
      </c>
      <c r="M22" s="5" t="n">
        <v>7.115365864900239</v>
      </c>
    </row>
    <row r="23">
      <c r="A23" s="6" t="inlineStr">
        <is>
          <t>残差平方和 Q（1次式）[mV²]</t>
        </is>
      </c>
      <c r="B23" s="11">
        <f>SUMPRODUCT((C4:C8-(B17*B4:B8+B18))^2)</f>
        <v/>
      </c>
      <c r="C23" s="11" t="n">
        <v>0.02973726519164752</v>
      </c>
      <c r="K23" s="4" t="n">
        <v>190</v>
      </c>
      <c r="L23" s="5" t="n">
        <v>7.616056441064464</v>
      </c>
      <c r="M23" s="5" t="n">
        <v>7.519600554970887</v>
      </c>
    </row>
    <row r="24">
      <c r="A24" s="6" t="inlineStr">
        <is>
          <t>残差平方和 Q（2次式）[mV²]</t>
        </is>
      </c>
      <c r="B24" s="11">
        <f>SUMPRODUCT((C4:C8-(B20*B4:B8^2+B21*B4:B8+B22))^2)</f>
        <v/>
      </c>
      <c r="C24" s="11" t="n">
        <v>0.01192906189930493</v>
      </c>
      <c r="K24" s="4" t="n">
        <v>200</v>
      </c>
      <c r="L24" s="5" t="n">
        <v>8.021143682711132</v>
      </c>
      <c r="M24" s="5" t="n">
        <v>7.924543869105273</v>
      </c>
    </row>
    <row r="25">
      <c r="K25" s="4" t="n">
        <v>210</v>
      </c>
      <c r="L25" s="5" t="n">
        <v>8.426230924357801</v>
      </c>
      <c r="M25" s="5" t="n">
        <v>8.330195807303399</v>
      </c>
    </row>
    <row r="26">
      <c r="A26" s="8" t="inlineStr">
        <is>
          <t>※ 係数は Excel の近似曲線機能ではなく，テキストの式(7)〜(16)をそのまま数式にして求めた．C列は報告書作成時の計算値（同じ値になることの確認用）．</t>
        </is>
      </c>
      <c r="K26" s="4" t="n">
        <v>220</v>
      </c>
      <c r="L26" s="5" t="n">
        <v>8.831318166004468</v>
      </c>
      <c r="M26" s="5" t="n">
        <v>8.73655636956526</v>
      </c>
    </row>
    <row r="27">
      <c r="K27" s="4" t="n">
        <v>230</v>
      </c>
      <c r="L27" s="5" t="n">
        <v>9.236405407651137</v>
      </c>
      <c r="M27" s="5" t="n">
        <v>9.143625555890864</v>
      </c>
    </row>
    <row r="28">
      <c r="K28" s="4" t="n">
        <v>240</v>
      </c>
      <c r="L28" s="5" t="n">
        <v>9.641492649297806</v>
      </c>
      <c r="M28" s="5" t="n">
        <v>9.551403366280207</v>
      </c>
    </row>
    <row r="29">
      <c r="K29" s="4" t="n">
        <v>250</v>
      </c>
      <c r="L29" s="5" t="n">
        <v>10.04657989094447</v>
      </c>
      <c r="M29" s="5" t="n">
        <v>9.959889800733288</v>
      </c>
    </row>
    <row r="30">
      <c r="K30" s="4" t="n">
        <v>260</v>
      </c>
      <c r="L30" s="5" t="n">
        <v>10.45166713259114</v>
      </c>
      <c r="M30" s="5" t="n">
        <v>10.36908485925011</v>
      </c>
    </row>
    <row r="31">
      <c r="K31" s="4" t="n">
        <v>270</v>
      </c>
      <c r="L31" s="5" t="n">
        <v>10.85675437423781</v>
      </c>
      <c r="M31" s="5" t="n">
        <v>10.77898854183067</v>
      </c>
    </row>
    <row r="32">
      <c r="K32" s="4" t="n">
        <v>280</v>
      </c>
      <c r="L32" s="5" t="n">
        <v>11.26184161588448</v>
      </c>
      <c r="M32" s="5" t="n">
        <v>11.18960084847496</v>
      </c>
    </row>
    <row r="33">
      <c r="K33" s="4" t="n">
        <v>290</v>
      </c>
      <c r="L33" s="5" t="n">
        <v>11.66692885753115</v>
      </c>
      <c r="M33" s="5" t="n">
        <v>11.600921779183</v>
      </c>
    </row>
    <row r="34">
      <c r="K34" s="4" t="n">
        <v>300</v>
      </c>
      <c r="L34" s="5" t="n">
        <v>12.07201609917781</v>
      </c>
      <c r="M34" s="5" t="n">
        <v>12.01295133395478</v>
      </c>
    </row>
    <row r="35">
      <c r="K35" s="4" t="n">
        <v>310</v>
      </c>
      <c r="L35" s="5" t="n">
        <v>12.47710334082448</v>
      </c>
      <c r="M35" s="5" t="n">
        <v>12.42568951279029</v>
      </c>
    </row>
    <row r="36">
      <c r="K36" s="4" t="n">
        <v>320</v>
      </c>
      <c r="L36" s="5" t="n">
        <v>12.88219058247115</v>
      </c>
      <c r="M36" s="5" t="n">
        <v>12.83913631568955</v>
      </c>
    </row>
    <row r="37">
      <c r="K37" s="4" t="n">
        <v>330</v>
      </c>
      <c r="L37" s="5" t="n">
        <v>13.28727782411782</v>
      </c>
      <c r="M37" s="5" t="n">
        <v>13.25329174265254</v>
      </c>
    </row>
    <row r="38">
      <c r="K38" s="4" t="n">
        <v>340</v>
      </c>
      <c r="L38" s="5" t="n">
        <v>13.69236506576449</v>
      </c>
      <c r="M38" s="5" t="n">
        <v>13.66815579367927</v>
      </c>
    </row>
    <row r="39">
      <c r="K39" s="4" t="n">
        <v>350</v>
      </c>
      <c r="L39" s="5" t="n">
        <v>14.09745230741115</v>
      </c>
      <c r="M39" s="5" t="n">
        <v>14.08372846876974</v>
      </c>
    </row>
    <row r="40">
      <c r="K40" s="4" t="n">
        <v>360</v>
      </c>
      <c r="L40" s="5" t="n">
        <v>14.50253954905782</v>
      </c>
      <c r="M40" s="5" t="n">
        <v>14.50000976792395</v>
      </c>
    </row>
    <row r="41">
      <c r="K41" s="4" t="n">
        <v>370</v>
      </c>
      <c r="L41" s="5" t="n">
        <v>14.90762679070449</v>
      </c>
      <c r="M41" s="5" t="n">
        <v>14.91699969114189</v>
      </c>
    </row>
    <row r="42">
      <c r="K42" s="4" t="n">
        <v>380</v>
      </c>
      <c r="L42" s="5" t="n">
        <v>15.31271403235116</v>
      </c>
      <c r="M42" s="5" t="n">
        <v>15.33469823842358</v>
      </c>
    </row>
    <row r="43">
      <c r="K43" s="4" t="n">
        <v>390</v>
      </c>
      <c r="L43" s="5" t="n">
        <v>15.71780127399783</v>
      </c>
      <c r="M43" s="5" t="n">
        <v>15.75310540976901</v>
      </c>
    </row>
    <row r="44">
      <c r="K44" s="4" t="n">
        <v>400</v>
      </c>
      <c r="L44" s="5" t="n">
        <v>16.1228885156445</v>
      </c>
      <c r="M44" s="5" t="n">
        <v>16.17222120517818</v>
      </c>
    </row>
    <row r="45">
      <c r="K45" s="4" t="n">
        <v>410</v>
      </c>
      <c r="L45" s="5" t="n">
        <v>16.52797575729117</v>
      </c>
      <c r="M45" s="5" t="n">
        <v>16.59204562465108</v>
      </c>
    </row>
    <row r="46">
      <c r="K46" s="4" t="n">
        <v>420</v>
      </c>
      <c r="L46" s="5" t="n">
        <v>16.93306299893784</v>
      </c>
      <c r="M46" s="5" t="n">
        <v>17.01257866818772</v>
      </c>
    </row>
    <row r="47">
      <c r="K47" s="4" t="n">
        <v>430</v>
      </c>
      <c r="L47" s="5" t="n">
        <v>17.3381502405845</v>
      </c>
      <c r="M47" s="5" t="n">
        <v>17.4338203357881</v>
      </c>
    </row>
    <row r="48">
      <c r="K48" s="4" t="n">
        <v>440</v>
      </c>
      <c r="L48" s="5" t="n">
        <v>17.74323748223117</v>
      </c>
      <c r="M48" s="5" t="n">
        <v>17.85577062745222</v>
      </c>
    </row>
    <row r="49">
      <c r="K49" s="4" t="n">
        <v>450</v>
      </c>
      <c r="L49" s="5" t="n">
        <v>18.14832472387783</v>
      </c>
      <c r="M49" s="5" t="n">
        <v>18.27842954318008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規格の熱起電力（基準接点0 ℃）との比較．規格値は JIS C 1602 の熱起電力表と同じ値を与える基準関数で計算．</t>
        </is>
      </c>
    </row>
    <row r="3">
      <c r="A3" s="3" t="inlineStr">
        <is>
          <t>定点</t>
        </is>
      </c>
      <c r="B3" s="3" t="inlineStr">
        <is>
          <t>t [℃]</t>
        </is>
      </c>
      <c r="C3" s="3" t="inlineStr">
        <is>
          <t>測定値 [mV]</t>
        </is>
      </c>
      <c r="D3" s="3" t="inlineStr">
        <is>
          <t>規格値 [mV]</t>
        </is>
      </c>
      <c r="E3" s="3" t="inlineStr">
        <is>
          <t>ΔE [mV]</t>
        </is>
      </c>
      <c r="F3" s="3" t="inlineStr">
        <is>
          <t>ΔT [℃]</t>
        </is>
      </c>
      <c r="G3" s="3" t="inlineStr">
        <is>
          <t>許容差 [℃]</t>
        </is>
      </c>
    </row>
    <row r="4">
      <c r="A4" s="6" t="inlineStr">
        <is>
          <t>0 ℃（氷水）</t>
        </is>
      </c>
      <c r="B4" s="9" t="n">
        <v>0</v>
      </c>
      <c r="C4" s="5" t="n">
        <v>0.027</v>
      </c>
      <c r="D4" s="5" t="n">
        <v>1.974083761041578e-09</v>
      </c>
      <c r="E4" s="12">
        <f>C4-D4</f>
        <v/>
      </c>
      <c r="F4" s="13" t="n">
        <v>0.6844</v>
      </c>
      <c r="G4" s="7" t="n">
        <v>2.5</v>
      </c>
    </row>
    <row r="5">
      <c r="A5" s="6" t="inlineStr">
        <is>
          <t>室温</t>
        </is>
      </c>
      <c r="B5" s="9" t="n">
        <v>24.5</v>
      </c>
      <c r="C5" s="5" t="n">
        <v>0.84</v>
      </c>
      <c r="D5" s="5" t="n">
        <v>0.9799880541468255</v>
      </c>
      <c r="E5" s="12">
        <f>C5-D5</f>
        <v/>
      </c>
      <c r="F5" s="13" t="n">
        <v>-3.4565</v>
      </c>
      <c r="G5" s="7" t="n">
        <v>2.5</v>
      </c>
    </row>
    <row r="6">
      <c r="A6" s="6" t="inlineStr">
        <is>
          <t>スズ（Sn）の融点</t>
        </is>
      </c>
      <c r="B6" s="9" t="n">
        <v>231.97</v>
      </c>
      <c r="C6" s="5" t="n">
        <v>9.251647058823529</v>
      </c>
      <c r="D6" s="5" t="n">
        <v>9.422229029738421</v>
      </c>
      <c r="E6" s="12">
        <f>C6-D6</f>
        <v/>
      </c>
      <c r="F6" s="13" t="n">
        <v>-4.2229</v>
      </c>
      <c r="G6" s="7" t="n">
        <v>2.5</v>
      </c>
    </row>
    <row r="7">
      <c r="A7" s="6" t="inlineStr">
        <is>
          <t>鉛（Pb）の融点</t>
        </is>
      </c>
      <c r="B7" s="9" t="n">
        <v>327.52</v>
      </c>
      <c r="C7" s="5" t="n">
        <v>13.136375</v>
      </c>
      <c r="D7" s="5" t="n">
        <v>13.35312191093948</v>
      </c>
      <c r="E7" s="12">
        <f>C7-D7</f>
        <v/>
      </c>
      <c r="F7" s="13" t="n">
        <v>-5.195</v>
      </c>
      <c r="G7" s="7" t="n">
        <v>2.5</v>
      </c>
    </row>
    <row r="8">
      <c r="A8" s="6" t="inlineStr">
        <is>
          <t>亜鉛（Zn）の融点</t>
        </is>
      </c>
      <c r="B8" s="9" t="n">
        <v>419.58</v>
      </c>
      <c r="C8" s="5" t="n">
        <v>16.9953125</v>
      </c>
      <c r="D8" s="5" t="n">
        <v>17.22530071166159</v>
      </c>
      <c r="E8" s="12">
        <f>C8-D8</f>
        <v/>
      </c>
      <c r="F8" s="13" t="n">
        <v>-5.4307</v>
      </c>
      <c r="G8" s="7" t="n">
        <v>3.14685</v>
      </c>
    </row>
    <row r="11">
      <c r="A11" s="3" t="inlineStr">
        <is>
          <t>t [℃]</t>
        </is>
      </c>
      <c r="B11" s="3" t="inlineStr">
        <is>
          <t>1次式のずれ [℃]</t>
        </is>
      </c>
      <c r="C11" s="3" t="inlineStr">
        <is>
          <t>2次式のずれ [℃]</t>
        </is>
      </c>
    </row>
    <row r="12">
      <c r="A12" s="4" t="n">
        <v>0</v>
      </c>
      <c r="B12" s="9" t="n">
        <v>-2.043115094109304</v>
      </c>
      <c r="C12" s="9" t="n">
        <v>-1.005924324004593</v>
      </c>
    </row>
    <row r="13">
      <c r="A13" s="4" t="n">
        <v>5</v>
      </c>
      <c r="B13" s="9" t="n">
        <v>-1.912620545007703</v>
      </c>
      <c r="C13" s="9" t="n">
        <v>-1.055317345459865</v>
      </c>
    </row>
    <row r="14">
      <c r="A14" s="4" t="n">
        <v>10</v>
      </c>
      <c r="B14" s="9" t="n">
        <v>-1.813288228746014</v>
      </c>
      <c r="C14" s="9" t="n">
        <v>-1.129081252460444</v>
      </c>
    </row>
    <row r="15">
      <c r="A15" s="4" t="n">
        <v>15</v>
      </c>
      <c r="B15" s="9" t="n">
        <v>-1.742984948318729</v>
      </c>
      <c r="C15" s="9" t="n">
        <v>-1.225355190540665</v>
      </c>
    </row>
    <row r="16">
      <c r="A16" s="4" t="n">
        <v>20</v>
      </c>
      <c r="B16" s="9" t="n">
        <v>-1.69967214317084</v>
      </c>
      <c r="C16" s="9" t="n">
        <v>-1.342353518992073</v>
      </c>
    </row>
    <row r="17">
      <c r="A17" s="4" t="n">
        <v>25</v>
      </c>
      <c r="B17" s="9" t="n">
        <v>-1.68137288873399</v>
      </c>
      <c r="C17" s="9" t="n">
        <v>-1.478337858935219</v>
      </c>
    </row>
    <row r="18">
      <c r="A18" s="4" t="n">
        <v>30</v>
      </c>
      <c r="B18" s="9" t="n">
        <v>-1.68614342427715</v>
      </c>
      <c r="C18" s="9" t="n">
        <v>-1.631592783165833</v>
      </c>
    </row>
    <row r="19">
      <c r="A19" s="4" t="n">
        <v>35</v>
      </c>
      <c r="B19" s="9" t="n">
        <v>-1.7120492496715</v>
      </c>
      <c r="C19" s="9" t="n">
        <v>-1.8004051451934</v>
      </c>
    </row>
    <row r="20">
      <c r="A20" s="4" t="n">
        <v>40</v>
      </c>
      <c r="B20" s="9" t="n">
        <v>-1.75714582072271</v>
      </c>
      <c r="C20" s="9" t="n">
        <v>-1.983047045032601</v>
      </c>
    </row>
    <row r="21">
      <c r="A21" s="4" t="n">
        <v>45</v>
      </c>
      <c r="B21" s="9" t="n">
        <v>-1.819463843054356</v>
      </c>
      <c r="C21" s="9" t="n">
        <v>-2.177762418613605</v>
      </c>
    </row>
    <row r="22">
      <c r="A22" s="4" t="n">
        <v>50</v>
      </c>
      <c r="B22" s="9" t="n">
        <v>-1.89699912629968</v>
      </c>
      <c r="C22" s="9" t="n">
        <v>-2.382757224312316</v>
      </c>
    </row>
    <row r="23">
      <c r="A23" s="4" t="n">
        <v>55</v>
      </c>
      <c r="B23" s="9" t="n">
        <v>-1.98770692265565</v>
      </c>
      <c r="C23" s="9" t="n">
        <v>-2.596193190969193</v>
      </c>
    </row>
    <row r="24">
      <c r="A24" s="4" t="n">
        <v>60</v>
      </c>
      <c r="B24" s="9" t="n">
        <v>-2.089500643593413</v>
      </c>
      <c r="C24" s="9" t="n">
        <v>-2.816185091646446</v>
      </c>
    </row>
    <row r="25">
      <c r="A25" s="4" t="n">
        <v>65</v>
      </c>
      <c r="B25" s="9" t="n">
        <v>-2.200254829565519</v>
      </c>
      <c r="C25" s="9" t="n">
        <v>-3.040801518218464</v>
      </c>
    </row>
    <row r="26">
      <c r="A26" s="4" t="n">
        <v>70</v>
      </c>
      <c r="B26" s="9" t="n">
        <v>-2.31781224011322</v>
      </c>
      <c r="C26" s="9" t="n">
        <v>-3.26806915236197</v>
      </c>
    </row>
    <row r="27">
      <c r="A27" s="4" t="n">
        <v>75</v>
      </c>
      <c r="B27" s="9" t="n">
        <v>-2.439994932245874</v>
      </c>
      <c r="C27" s="9" t="n">
        <v>-3.495980553866968</v>
      </c>
    </row>
    <row r="28">
      <c r="A28" s="4" t="n">
        <v>80</v>
      </c>
      <c r="B28" s="9" t="n">
        <v>-2.564619196213599</v>
      </c>
      <c r="C28" s="9" t="n">
        <v>-3.722505509543927</v>
      </c>
    </row>
    <row r="29">
      <c r="A29" s="4" t="n">
        <v>85</v>
      </c>
      <c r="B29" s="9" t="n">
        <v>-2.689514209943711</v>
      </c>
      <c r="C29" s="9" t="n">
        <v>-3.945605994969432</v>
      </c>
    </row>
    <row r="30">
      <c r="A30" s="4" t="n">
        <v>90</v>
      </c>
      <c r="B30" s="9" t="n">
        <v>-2.81254424505977</v>
      </c>
      <c r="C30" s="9" t="n">
        <v>-4.163254785053677</v>
      </c>
    </row>
    <row r="31">
      <c r="A31" s="4" t="n">
        <v>95</v>
      </c>
      <c r="B31" s="9" t="n">
        <v>-2.931634197215375</v>
      </c>
      <c r="C31" s="9" t="n">
        <v>-4.373457696034157</v>
      </c>
    </row>
    <row r="32">
      <c r="A32" s="4" t="n">
        <v>100</v>
      </c>
      <c r="B32" s="9" t="n">
        <v>-3.044798112069424</v>
      </c>
      <c r="C32" s="9" t="n">
        <v>-4.57427934076034</v>
      </c>
    </row>
    <row r="33">
      <c r="A33" s="4" t="n">
        <v>105</v>
      </c>
      <c r="B33" s="9" t="n">
        <v>-3.15017023024031</v>
      </c>
      <c r="C33" s="9" t="n">
        <v>-4.763872124441756</v>
      </c>
    </row>
    <row r="34">
      <c r="A34" s="4" t="n">
        <v>110</v>
      </c>
      <c r="B34" s="9" t="n">
        <v>-3.246037880655299</v>
      </c>
      <c r="C34" s="9" t="n">
        <v>-4.940507998463211</v>
      </c>
    </row>
    <row r="35">
      <c r="A35" s="4" t="n">
        <v>115</v>
      </c>
      <c r="B35" s="9" t="n">
        <v>-3.33087532028131</v>
      </c>
      <c r="C35" s="9" t="n">
        <v>-5.102612232132621</v>
      </c>
    </row>
    <row r="36">
      <c r="A36" s="4" t="n">
        <v>120</v>
      </c>
      <c r="B36" s="9" t="n">
        <v>-3.403377366547808</v>
      </c>
      <c r="C36" s="9" t="n">
        <v>-5.248798172050654</v>
      </c>
    </row>
    <row r="37">
      <c r="A37" s="4" t="n">
        <v>125</v>
      </c>
      <c r="B37" s="9" t="n">
        <v>-3.462491422992922</v>
      </c>
      <c r="C37" s="9" t="n">
        <v>-5.377901661464903</v>
      </c>
    </row>
    <row r="38">
      <c r="A38" s="4" t="n">
        <v>130</v>
      </c>
      <c r="B38" s="9" t="n">
        <v>-3.507446292408213</v>
      </c>
      <c r="C38" s="9" t="n">
        <v>-5.489013521471414</v>
      </c>
    </row>
    <row r="39">
      <c r="A39" s="4" t="n">
        <v>135</v>
      </c>
      <c r="B39" s="9" t="n">
        <v>-3.537776042965892</v>
      </c>
      <c r="C39" s="9" t="n">
        <v>-5.581508292249491</v>
      </c>
    </row>
    <row r="40">
      <c r="A40" s="4" t="n">
        <v>140</v>
      </c>
      <c r="B40" s="9" t="n">
        <v>-3.553337178935083</v>
      </c>
      <c r="C40" s="9" t="n">
        <v>-5.655067337204365</v>
      </c>
    </row>
    <row r="41">
      <c r="A41" s="4" t="n">
        <v>145</v>
      </c>
      <c r="B41" s="9" t="n">
        <v>-3.554317499375514</v>
      </c>
      <c r="C41" s="9" t="n">
        <v>-5.709694462826256</v>
      </c>
    </row>
    <row r="42">
      <c r="A42" s="4" t="n">
        <v>150</v>
      </c>
      <c r="B42" s="9" t="n">
        <v>-3.541235323071677</v>
      </c>
      <c r="C42" s="9" t="n">
        <v>-5.745722427491605</v>
      </c>
    </row>
    <row r="43">
      <c r="A43" s="4" t="n">
        <v>155</v>
      </c>
      <c r="B43" s="9" t="n">
        <v>-3.514928214241194</v>
      </c>
      <c r="C43" s="9" t="n">
        <v>-5.763809110241266</v>
      </c>
    </row>
    <row r="44">
      <c r="A44" s="4" t="n">
        <v>160</v>
      </c>
      <c r="B44" s="9" t="n">
        <v>-3.476530936874204</v>
      </c>
      <c r="C44" s="9" t="n">
        <v>-5.764922669644223</v>
      </c>
    </row>
    <row r="45">
      <c r="A45" s="4" t="n">
        <v>165</v>
      </c>
      <c r="B45" s="9" t="n">
        <v>-3.427443048975115</v>
      </c>
      <c r="C45" s="9" t="n">
        <v>-5.750315702630895</v>
      </c>
    </row>
    <row r="46">
      <c r="A46" s="4" t="n">
        <v>170</v>
      </c>
      <c r="B46" s="9" t="n">
        <v>-3.369287256262143</v>
      </c>
      <c r="C46" s="9" t="n">
        <v>-5.721489151704089</v>
      </c>
    </row>
    <row r="47">
      <c r="A47" s="4" t="n">
        <v>175</v>
      </c>
      <c r="B47" s="9" t="n">
        <v>-3.303860302863562</v>
      </c>
      <c r="C47" s="9" t="n">
        <v>-5.680147430242117</v>
      </c>
    </row>
    <row r="48">
      <c r="A48" s="4" t="n">
        <v>180</v>
      </c>
      <c r="B48" s="9" t="n">
        <v>-3.233078710283765</v>
      </c>
      <c r="C48" s="9" t="n">
        <v>-5.628146860622251</v>
      </c>
    </row>
    <row r="49">
      <c r="A49" s="4" t="n">
        <v>185</v>
      </c>
      <c r="B49" s="9" t="n">
        <v>-3.158922024391567</v>
      </c>
      <c r="C49" s="9" t="n">
        <v>-5.567439978651488</v>
      </c>
    </row>
    <row r="50">
      <c r="A50" s="4" t="n">
        <v>190</v>
      </c>
      <c r="B50" s="9" t="n">
        <v>-3.083376355284244</v>
      </c>
      <c r="C50" s="9" t="n">
        <v>-5.500018500638697</v>
      </c>
    </row>
    <row r="51">
      <c r="A51" s="4" t="n">
        <v>195</v>
      </c>
      <c r="B51" s="9" t="n">
        <v>-3.008380887303646</v>
      </c>
      <c r="C51" s="9" t="n">
        <v>-5.427857754686103</v>
      </c>
    </row>
    <row r="52">
      <c r="A52" s="4" t="n">
        <v>200</v>
      </c>
      <c r="B52" s="9" t="n">
        <v>-2.935779716439979</v>
      </c>
      <c r="C52" s="9" t="n">
        <v>-5.35286515426706</v>
      </c>
    </row>
    <row r="53">
      <c r="A53" s="4" t="n">
        <v>205</v>
      </c>
      <c r="B53" s="9" t="n">
        <v>-2.867280885089737</v>
      </c>
      <c r="C53" s="9" t="n">
        <v>-5.276834876401179</v>
      </c>
    </row>
    <row r="54">
      <c r="A54" s="4" t="n">
        <v>210</v>
      </c>
      <c r="B54" s="9" t="n">
        <v>-2.804423891391936</v>
      </c>
      <c r="C54" s="9" t="n">
        <v>-5.201410355453964</v>
      </c>
    </row>
    <row r="55">
      <c r="A55" s="4" t="n">
        <v>215</v>
      </c>
      <c r="B55" s="9" t="n">
        <v>-2.748556319951801</v>
      </c>
      <c r="C55" s="9" t="n">
        <v>-5.128055583599261</v>
      </c>
    </row>
    <row r="56">
      <c r="A56" s="4" t="n">
        <v>220</v>
      </c>
      <c r="B56" s="9" t="n">
        <v>-2.70081963634774</v>
      </c>
      <c r="C56" s="9" t="n">
        <v>-5.05803558664078</v>
      </c>
    </row>
    <row r="57">
      <c r="A57" s="4" t="n">
        <v>225</v>
      </c>
      <c r="B57" s="9" t="n">
        <v>-2.662143660903307</v>
      </c>
      <c r="C57" s="9" t="n">
        <v>-4.992405876185948</v>
      </c>
    </row>
    <row r="58">
      <c r="A58" s="4" t="n">
        <v>230</v>
      </c>
      <c r="B58" s="9" t="n">
        <v>-2.633248822390857</v>
      </c>
      <c r="C58" s="9" t="n">
        <v>-4.932010207781738</v>
      </c>
    </row>
    <row r="59">
      <c r="A59" s="4" t="n">
        <v>235</v>
      </c>
      <c r="B59" s="9" t="n">
        <v>-2.614655005975243</v>
      </c>
      <c r="C59" s="9" t="n">
        <v>-4.877485623443384</v>
      </c>
    </row>
    <row r="60">
      <c r="A60" s="4" t="n">
        <v>240</v>
      </c>
      <c r="B60" s="9" t="n">
        <v>-2.606695651727459</v>
      </c>
      <c r="C60" s="9" t="n">
        <v>-4.829273532887241</v>
      </c>
    </row>
    <row r="61">
      <c r="A61" s="4" t="n">
        <v>245</v>
      </c>
      <c r="B61" s="9" t="n">
        <v>-2.609535717495545</v>
      </c>
      <c r="C61" s="9" t="n">
        <v>-4.787635483429515</v>
      </c>
    </row>
    <row r="62">
      <c r="A62" s="4" t="n">
        <v>250</v>
      </c>
      <c r="B62" s="9" t="n">
        <v>-2.623192171716943</v>
      </c>
      <c r="C62" s="9" t="n">
        <v>-4.752672266890201</v>
      </c>
    </row>
    <row r="63">
      <c r="A63" s="4" t="n">
        <v>255</v>
      </c>
      <c r="B63" s="9" t="n">
        <v>-2.647555803015091</v>
      </c>
      <c r="C63" s="9" t="n">
        <v>-4.724345090437256</v>
      </c>
    </row>
    <row r="64">
      <c r="A64" s="4" t="n">
        <v>260</v>
      </c>
      <c r="B64" s="9" t="n">
        <v>-2.682413299318421</v>
      </c>
      <c r="C64" s="9" t="n">
        <v>-4.702497673199441</v>
      </c>
    </row>
    <row r="65">
      <c r="A65" s="4" t="n">
        <v>265</v>
      </c>
      <c r="B65" s="9" t="n">
        <v>-2.727468737614349</v>
      </c>
      <c r="C65" s="9" t="n">
        <v>-4.686878299233411</v>
      </c>
    </row>
    <row r="66">
      <c r="A66" s="4" t="n">
        <v>270</v>
      </c>
      <c r="B66" s="9" t="n">
        <v>-2.782363818281784</v>
      </c>
      <c r="C66" s="9" t="n">
        <v>-4.677161040930339</v>
      </c>
    </row>
    <row r="67">
      <c r="A67" s="4" t="n">
        <v>275</v>
      </c>
      <c r="B67" s="9" t="n">
        <v>-2.846696361970702</v>
      </c>
      <c r="C67" s="9" t="n">
        <v>-4.672965550335703</v>
      </c>
    </row>
    <row r="68">
      <c r="A68" s="4" t="n">
        <v>280</v>
      </c>
      <c r="B68" s="9" t="n">
        <v>-2.920036753399875</v>
      </c>
      <c r="C68" s="9" t="n">
        <v>-4.673874988508024</v>
      </c>
    </row>
    <row r="69">
      <c r="A69" s="4" t="n">
        <v>285</v>
      </c>
      <c r="B69" s="9" t="n">
        <v>-3.001942160293326</v>
      </c>
      <c r="C69" s="9" t="n">
        <v>-4.679451818197483</v>
      </c>
    </row>
    <row r="70">
      <c r="A70" s="4" t="n">
        <v>290</v>
      </c>
      <c r="B70" s="9" t="n">
        <v>-3.091968475056997</v>
      </c>
      <c r="C70" s="9" t="n">
        <v>-4.689251319160249</v>
      </c>
    </row>
    <row r="71">
      <c r="A71" s="4" t="n">
        <v>295</v>
      </c>
      <c r="B71" s="9" t="n">
        <v>-3.189680021898941</v>
      </c>
      <c r="C71" s="9" t="n">
        <v>-4.702832797018728</v>
      </c>
    </row>
    <row r="72">
      <c r="A72" s="4" t="n">
        <v>300</v>
      </c>
      <c r="B72" s="9" t="n">
        <v>-3.294657144552564</v>
      </c>
      <c r="C72" s="9" t="n">
        <v>-4.71976854608705</v>
      </c>
    </row>
    <row r="73">
      <c r="A73" s="4" t="n">
        <v>305</v>
      </c>
      <c r="B73" s="9" t="n">
        <v>-3.406501841916143</v>
      </c>
      <c r="C73" s="9" t="n">
        <v>-4.739650695319884</v>
      </c>
    </row>
    <row r="74">
      <c r="A74" s="4" t="n">
        <v>310</v>
      </c>
      <c r="B74" s="9" t="n">
        <v>-3.524841653495689</v>
      </c>
      <c r="C74" s="9" t="n">
        <v>-4.762096116440978</v>
      </c>
    </row>
    <row r="75">
      <c r="A75" s="4" t="n">
        <v>315</v>
      </c>
      <c r="B75" s="9" t="n">
        <v>-3.649332016269707</v>
      </c>
      <c r="C75" s="9" t="n">
        <v>-4.786749606540762</v>
      </c>
    </row>
    <row r="76">
      <c r="A76" s="4" t="n">
        <v>320</v>
      </c>
      <c r="B76" s="9" t="n">
        <v>-3.779657322112897</v>
      </c>
      <c r="C76" s="9" t="n">
        <v>-4.813285576269949</v>
      </c>
    </row>
    <row r="77">
      <c r="A77" s="4" t="n">
        <v>325</v>
      </c>
      <c r="B77" s="9" t="n">
        <v>-3.915530902637204</v>
      </c>
      <c r="C77" s="9" t="n">
        <v>-4.84140848143883</v>
      </c>
    </row>
    <row r="78">
      <c r="A78" s="4" t="n">
        <v>330</v>
      </c>
      <c r="B78" s="9" t="n">
        <v>-4.05669415841367</v>
      </c>
      <c r="C78" s="9" t="n">
        <v>-4.870852232526805</v>
      </c>
    </row>
    <row r="79">
      <c r="A79" s="4" t="n">
        <v>335</v>
      </c>
      <c r="B79" s="9" t="n">
        <v>-4.202915033975416</v>
      </c>
      <c r="C79" s="9" t="n">
        <v>-4.901378805379654</v>
      </c>
    </row>
    <row r="80">
      <c r="A80" s="4" t="n">
        <v>340</v>
      </c>
      <c r="B80" s="9" t="n">
        <v>-4.353986020488285</v>
      </c>
      <c r="C80" s="9" t="n">
        <v>-4.93277625915796</v>
      </c>
    </row>
    <row r="81">
      <c r="A81" s="4" t="n">
        <v>345</v>
      </c>
      <c r="B81" s="9" t="n">
        <v>-4.509721846010262</v>
      </c>
      <c r="C81" s="9" t="n">
        <v>-4.964856346191589</v>
      </c>
    </row>
    <row r="82">
      <c r="A82" s="4" t="n">
        <v>350</v>
      </c>
      <c r="B82" s="9" t="n">
        <v>-4.669956990141323</v>
      </c>
      <c r="C82" s="9" t="n">
        <v>-4.997451874428148</v>
      </c>
    </row>
    <row r="83">
      <c r="A83" s="4" t="n">
        <v>355</v>
      </c>
      <c r="B83" s="9" t="n">
        <v>-4.834543136675514</v>
      </c>
      <c r="C83" s="9" t="n">
        <v>-5.030413958065272</v>
      </c>
    </row>
    <row r="84">
      <c r="A84" s="4" t="n">
        <v>360</v>
      </c>
      <c r="B84" s="9" t="n">
        <v>-5.003346655487221</v>
      </c>
      <c r="C84" s="9" t="n">
        <v>-5.063609266953917</v>
      </c>
    </row>
    <row r="85">
      <c r="A85" s="4" t="n">
        <v>365</v>
      </c>
      <c r="B85" s="9" t="n">
        <v>-5.176246184002901</v>
      </c>
      <c r="C85" s="9" t="n">
        <v>-5.096917361449878</v>
      </c>
    </row>
    <row r="86">
      <c r="A86" s="4" t="n">
        <v>370</v>
      </c>
      <c r="B86" s="9" t="n">
        <v>-5.353130359719727</v>
      </c>
      <c r="C86" s="9" t="n">
        <v>-5.130228177329887</v>
      </c>
    </row>
    <row r="87">
      <c r="A87" s="4" t="n">
        <v>375</v>
      </c>
      <c r="B87" s="9" t="n">
        <v>-5.533895738645628</v>
      </c>
      <c r="C87" s="9" t="n">
        <v>-5.163439705711052</v>
      </c>
    </row>
    <row r="88">
      <c r="A88" s="4" t="n">
        <v>380</v>
      </c>
      <c r="B88" s="9" t="n">
        <v>-5.718444920406228</v>
      </c>
      <c r="C88" s="9" t="n">
        <v>-5.196455895924114</v>
      </c>
    </row>
    <row r="89">
      <c r="A89" s="4" t="n">
        <v>385</v>
      </c>
      <c r="B89" s="9" t="n">
        <v>-5.906684889122518</v>
      </c>
      <c r="C89" s="9" t="n">
        <v>-5.229184795134957</v>
      </c>
    </row>
    <row r="90">
      <c r="A90" s="4" t="n">
        <v>390</v>
      </c>
      <c r="B90" s="9" t="n">
        <v>-6.098525569894472</v>
      </c>
      <c r="C90" s="9" t="n">
        <v>-5.261536927130752</v>
      </c>
    </row>
    <row r="91">
      <c r="A91" s="4" t="n">
        <v>395</v>
      </c>
      <c r="B91" s="9" t="n">
        <v>-6.293878593676569</v>
      </c>
      <c r="C91" s="9" t="n">
        <v>-5.293423903942562</v>
      </c>
    </row>
    <row r="92">
      <c r="A92" s="4" t="n">
        <v>400</v>
      </c>
      <c r="B92" s="9" t="n">
        <v>-6.492656258245509</v>
      </c>
      <c r="C92" s="9" t="n">
        <v>-5.3247572576117</v>
      </c>
    </row>
    <row r="93">
      <c r="A93" s="4" t="n">
        <v>405</v>
      </c>
      <c r="B93" s="9" t="n">
        <v>-6.694770669592102</v>
      </c>
      <c r="C93" s="9" t="n">
        <v>-5.355447475123023</v>
      </c>
    </row>
    <row r="94">
      <c r="A94" s="4" t="n">
        <v>410</v>
      </c>
      <c r="B94" s="9" t="n">
        <v>-6.900133046106436</v>
      </c>
      <c r="C94" s="9" t="n">
        <v>-5.385403216982633</v>
      </c>
    </row>
    <row r="95">
      <c r="A95" s="4" t="n">
        <v>415</v>
      </c>
      <c r="B95" s="9" t="n">
        <v>-7.108653167129062</v>
      </c>
      <c r="C95" s="9" t="n">
        <v>-5.414530698795237</v>
      </c>
    </row>
    <row r="96">
      <c r="A96" s="4" t="n">
        <v>420</v>
      </c>
      <c r="B96" s="9" t="n">
        <v>-7.320238947510718</v>
      </c>
      <c r="C96" s="9" t="n">
        <v>-5.442733215154615</v>
      </c>
    </row>
    <row r="97">
      <c r="A97" s="4" t="n">
        <v>425</v>
      </c>
      <c r="B97" s="9" t="n">
        <v>-7.534796120562383</v>
      </c>
      <c r="C97" s="9" t="n">
        <v>-5.469910785941789</v>
      </c>
    </row>
    <row r="98">
      <c r="A98" s="4" t="n">
        <v>430</v>
      </c>
      <c r="B98" s="9" t="n">
        <v>-7.752228012954292</v>
      </c>
      <c r="C98" s="9" t="n">
        <v>-5.495959906446756</v>
      </c>
    </row>
    <row r="99">
      <c r="A99" s="4" t="n">
        <v>435</v>
      </c>
      <c r="B99" s="9" t="n">
        <v>-7.972435396584348</v>
      </c>
      <c r="C99" s="9" t="n">
        <v>-5.520773384405175</v>
      </c>
    </row>
    <row r="100">
      <c r="A100" s="4" t="n">
        <v>440</v>
      </c>
      <c r="B100" s="9" t="n">
        <v>-8.195316404043307</v>
      </c>
      <c r="C100" s="9" t="n">
        <v>-5.544240248891279</v>
      </c>
    </row>
    <row r="101">
      <c r="A101" s="4" t="n">
        <v>445</v>
      </c>
      <c r="B101" s="9" t="n">
        <v>-8.420766495942207</v>
      </c>
      <c r="C101" s="9" t="n">
        <v>-5.566245717898433</v>
      </c>
    </row>
    <row r="102">
      <c r="A102" s="4" t="n">
        <v>450</v>
      </c>
      <c r="B102" s="9" t="n">
        <v>-8.648678469979673</v>
      </c>
      <c r="C102" s="9" t="n">
        <v>-5.586671213291753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2026-10-04T17:46:19Z</dcterms:created>
  <dcterms:modified xmlns:dcterms="http://purl.org/dc/terms/" xmlns:xsi="http://www.w3.org/2001/XMLSchema-instance" xsi:type="dcterms:W3CDTF">2026-10-04T17:46:19Z</dcterms:modified>
</cp:coreProperties>
</file>