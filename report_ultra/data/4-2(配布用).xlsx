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4shu\Downloads\2026超音波実験\配布データ\"/>
    </mc:Choice>
  </mc:AlternateContent>
  <xr:revisionPtr revIDLastSave="0" documentId="8_{810B1E4D-F22F-44E2-8E61-69A78B62A0C0}" xr6:coauthVersionLast="47" xr6:coauthVersionMax="47" xr10:uidLastSave="{00000000-0000-0000-0000-000000000000}"/>
  <bookViews>
    <workbookView xWindow="-110" yWindow="-110" windowWidth="22780" windowHeight="14540" xr2:uid="{3E247959-26C0-4C94-AD60-EC3BE26676A3}"/>
  </bookViews>
  <sheets>
    <sheet name="4.2_配布用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7" i="2" l="1"/>
  <c r="F6" i="2"/>
  <c r="F5" i="2"/>
  <c r="K4" i="2"/>
  <c r="J7" i="2" s="1"/>
  <c r="F4" i="2"/>
  <c r="M3" i="2"/>
  <c r="F3" i="2"/>
  <c r="F8" i="2" s="1"/>
  <c r="E11" i="2" s="1"/>
  <c r="N3" i="2" l="1"/>
</calcChain>
</file>

<file path=xl/sharedStrings.xml><?xml version="1.0" encoding="utf-8"?>
<sst xmlns="http://schemas.openxmlformats.org/spreadsheetml/2006/main" count="19" uniqueCount="19">
  <si>
    <t>測定番号</t>
    <rPh sb="0" eb="2">
      <t>ソクテイ</t>
    </rPh>
    <rPh sb="2" eb="4">
      <t>バンゴウ</t>
    </rPh>
    <phoneticPr fontId="1"/>
  </si>
  <si>
    <t>位置目盛[mm]</t>
    <rPh sb="0" eb="2">
      <t>イチ</t>
    </rPh>
    <rPh sb="2" eb="4">
      <t>メモリ</t>
    </rPh>
    <phoneticPr fontId="1"/>
  </si>
  <si>
    <t>5λ</t>
    <phoneticPr fontId="1"/>
  </si>
  <si>
    <t>室温[℃]</t>
    <rPh sb="0" eb="2">
      <t>シツオン</t>
    </rPh>
    <phoneticPr fontId="1"/>
  </si>
  <si>
    <t>周期[µs]</t>
    <rPh sb="0" eb="2">
      <t>シュウキ</t>
    </rPh>
    <phoneticPr fontId="1"/>
  </si>
  <si>
    <t>室温から推定された音速[m/s]</t>
    <rPh sb="0" eb="2">
      <t>シツオン</t>
    </rPh>
    <rPh sb="4" eb="6">
      <t>スイテイ</t>
    </rPh>
    <rPh sb="9" eb="11">
      <t>オンソク</t>
    </rPh>
    <phoneticPr fontId="1"/>
  </si>
  <si>
    <t>波長と周期から推定された音速[m/s]</t>
    <rPh sb="0" eb="2">
      <t>ハチョウ</t>
    </rPh>
    <rPh sb="3" eb="5">
      <t>シュウキ</t>
    </rPh>
    <rPh sb="7" eb="9">
      <t>スイテイ</t>
    </rPh>
    <rPh sb="12" eb="14">
      <t>オンソク</t>
    </rPh>
    <phoneticPr fontId="1"/>
  </si>
  <si>
    <t>6-1</t>
    <phoneticPr fontId="1"/>
  </si>
  <si>
    <t>5T</t>
    <phoneticPr fontId="1"/>
  </si>
  <si>
    <t>7-2</t>
    <phoneticPr fontId="1"/>
  </si>
  <si>
    <t>T</t>
    <phoneticPr fontId="1"/>
  </si>
  <si>
    <t>8-3</t>
    <phoneticPr fontId="1"/>
  </si>
  <si>
    <t>9-4</t>
    <phoneticPr fontId="1"/>
  </si>
  <si>
    <t>周期から求めた周波数[Hz]</t>
    <rPh sb="0" eb="2">
      <t>シュウキ</t>
    </rPh>
    <rPh sb="4" eb="5">
      <t>モト</t>
    </rPh>
    <rPh sb="7" eb="10">
      <t>シュウハスウ</t>
    </rPh>
    <phoneticPr fontId="1"/>
  </si>
  <si>
    <t>←単位は本当はMHz</t>
    <rPh sb="1" eb="3">
      <t>タンイ</t>
    </rPh>
    <rPh sb="4" eb="6">
      <t>ホントウ</t>
    </rPh>
    <phoneticPr fontId="1"/>
  </si>
  <si>
    <t>10-5</t>
    <phoneticPr fontId="1"/>
  </si>
  <si>
    <t>平均</t>
    <rPh sb="0" eb="2">
      <t>ヘイキン</t>
    </rPh>
    <phoneticPr fontId="1"/>
  </si>
  <si>
    <t>5λの平均から算出したλ</t>
    <rPh sb="3" eb="5">
      <t>ヘイキン</t>
    </rPh>
    <rPh sb="7" eb="9">
      <t>サンシュツ</t>
    </rPh>
    <phoneticPr fontId="1"/>
  </si>
  <si>
    <t>←単位はmm</t>
    <rPh sb="1" eb="3">
      <t>タンイ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</si>
</sst>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77" fontId="0" fillId="0" borderId="0" xfId="0" applyNumberFormat="1">
      <alignment vertical="center"/>
    </xf>
    <xf numFmtId="49" fontId="0" fillId="0" borderId="0" xfId="0" applyNumberFormat="1">
      <alignment vertical="center"/>
    </xf>
    <xf numFmtId="49" fontId="0" fillId="0" borderId="2" xfId="0" applyNumberForma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EE4C2-2963-4D49-957B-B706636E8690}">
  <dimension ref="B2:N12"/>
  <sheetViews>
    <sheetView tabSelected="1" workbookViewId="0">
      <selection activeCell="K16" sqref="K16"/>
    </sheetView>
  </sheetViews>
  <sheetFormatPr defaultRowHeight="18" x14ac:dyDescent="0.55000000000000004"/>
  <cols>
    <col min="3" max="3" width="13.5" customWidth="1"/>
    <col min="13" max="13" width="27.08203125" customWidth="1"/>
    <col min="14" max="14" width="31.5" customWidth="1"/>
  </cols>
  <sheetData>
    <row r="2" spans="2:14" ht="18.5" thickBot="1" x14ac:dyDescent="0.6">
      <c r="B2" s="1" t="s">
        <v>0</v>
      </c>
      <c r="C2" s="1" t="s">
        <v>1</v>
      </c>
      <c r="E2" s="1"/>
      <c r="F2" s="2" t="s">
        <v>2</v>
      </c>
      <c r="G2" s="3"/>
      <c r="H2" s="1" t="s">
        <v>3</v>
      </c>
      <c r="I2" s="3"/>
      <c r="J2" s="4" t="s">
        <v>4</v>
      </c>
      <c r="K2" s="5"/>
      <c r="M2" s="2" t="s">
        <v>5</v>
      </c>
      <c r="N2" s="2" t="s">
        <v>6</v>
      </c>
    </row>
    <row r="3" spans="2:14" ht="18.5" thickBot="1" x14ac:dyDescent="0.6">
      <c r="B3" s="1">
        <v>1</v>
      </c>
      <c r="C3" s="1">
        <v>94.8</v>
      </c>
      <c r="E3" s="6" t="s">
        <v>7</v>
      </c>
      <c r="F3" s="7">
        <f>C8-C3</f>
        <v>42.100000000000009</v>
      </c>
      <c r="G3" s="8"/>
      <c r="H3" s="9">
        <v>24</v>
      </c>
      <c r="I3" s="3"/>
      <c r="J3" s="2" t="s">
        <v>8</v>
      </c>
      <c r="K3" s="2">
        <v>122</v>
      </c>
      <c r="M3" s="10">
        <f>331+0.6*H3</f>
        <v>345.4</v>
      </c>
      <c r="N3" s="11">
        <f>(J7*10^6)*(E11*10^(-3))</f>
        <v>345.57377049180332</v>
      </c>
    </row>
    <row r="4" spans="2:14" ht="18.5" thickBot="1" x14ac:dyDescent="0.6">
      <c r="B4" s="1">
        <v>2</v>
      </c>
      <c r="C4" s="1">
        <v>102.8</v>
      </c>
      <c r="E4" s="6" t="s">
        <v>9</v>
      </c>
      <c r="F4" s="7">
        <f>C9-C4</f>
        <v>42.2</v>
      </c>
      <c r="G4" s="8"/>
      <c r="J4" s="10" t="s">
        <v>10</v>
      </c>
      <c r="K4" s="11">
        <f>K3/5</f>
        <v>24.4</v>
      </c>
    </row>
    <row r="5" spans="2:14" ht="18.5" thickBot="1" x14ac:dyDescent="0.6">
      <c r="B5" s="1">
        <v>3</v>
      </c>
      <c r="C5" s="1">
        <v>111.5</v>
      </c>
      <c r="E5" s="6" t="s">
        <v>11</v>
      </c>
      <c r="F5" s="12">
        <f>C10-C5</f>
        <v>42</v>
      </c>
      <c r="G5" s="8"/>
      <c r="L5" s="3"/>
    </row>
    <row r="6" spans="2:14" ht="18.5" thickBot="1" x14ac:dyDescent="0.6">
      <c r="B6" s="1">
        <v>4</v>
      </c>
      <c r="C6" s="1">
        <v>119.8</v>
      </c>
      <c r="E6" s="6" t="s">
        <v>12</v>
      </c>
      <c r="F6" s="12">
        <f>C11-C6</f>
        <v>42.500000000000014</v>
      </c>
      <c r="G6" s="8"/>
      <c r="J6" s="13" t="s">
        <v>13</v>
      </c>
      <c r="K6" s="13"/>
      <c r="L6" s="13"/>
      <c r="M6" t="s">
        <v>14</v>
      </c>
    </row>
    <row r="7" spans="2:14" ht="18.5" thickBot="1" x14ac:dyDescent="0.6">
      <c r="B7" s="1">
        <v>5</v>
      </c>
      <c r="C7" s="1">
        <v>128.30000000000001</v>
      </c>
      <c r="E7" s="6" t="s">
        <v>15</v>
      </c>
      <c r="F7" s="12">
        <f>C12-C7</f>
        <v>42</v>
      </c>
      <c r="G7" s="8"/>
      <c r="J7" s="14">
        <f>1/K4</f>
        <v>4.0983606557377053E-2</v>
      </c>
      <c r="K7" s="15"/>
      <c r="L7" s="16"/>
    </row>
    <row r="8" spans="2:14" ht="18.5" thickBot="1" x14ac:dyDescent="0.6">
      <c r="B8" s="1">
        <v>6</v>
      </c>
      <c r="C8" s="1">
        <v>136.9</v>
      </c>
      <c r="E8" s="6" t="s">
        <v>16</v>
      </c>
      <c r="F8" s="17">
        <f>AVERAGE(F3:F7)</f>
        <v>42.160000000000004</v>
      </c>
      <c r="G8" s="18"/>
    </row>
    <row r="9" spans="2:14" x14ac:dyDescent="0.55000000000000004">
      <c r="B9" s="1">
        <v>7</v>
      </c>
      <c r="C9" s="1">
        <v>145</v>
      </c>
      <c r="E9" s="19"/>
      <c r="F9" s="3"/>
      <c r="G9" s="3"/>
    </row>
    <row r="10" spans="2:14" ht="18.5" thickBot="1" x14ac:dyDescent="0.6">
      <c r="B10" s="1">
        <v>8</v>
      </c>
      <c r="C10" s="1">
        <v>153.5</v>
      </c>
      <c r="E10" s="20" t="s">
        <v>17</v>
      </c>
      <c r="F10" s="20"/>
      <c r="G10" s="20"/>
      <c r="H10" t="s">
        <v>18</v>
      </c>
    </row>
    <row r="11" spans="2:14" ht="18.5" thickBot="1" x14ac:dyDescent="0.6">
      <c r="B11" s="1">
        <v>9</v>
      </c>
      <c r="C11" s="1">
        <v>162.30000000000001</v>
      </c>
      <c r="E11" s="14">
        <f>F8/5</f>
        <v>8.4320000000000004</v>
      </c>
      <c r="F11" s="15"/>
      <c r="G11" s="16"/>
    </row>
    <row r="12" spans="2:14" x14ac:dyDescent="0.55000000000000004">
      <c r="B12" s="1">
        <v>10</v>
      </c>
      <c r="C12" s="1">
        <v>170.3</v>
      </c>
    </row>
  </sheetData>
  <mergeCells count="5">
    <mergeCell ref="J2:K2"/>
    <mergeCell ref="J6:L6"/>
    <mergeCell ref="J7:L7"/>
    <mergeCell ref="E10:G10"/>
    <mergeCell ref="E11:G11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4.2_配布用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壬生　舜一郎</dc:creator>
  <cp:lastModifiedBy>壬生　舜一郎</cp:lastModifiedBy>
  <dcterms:created xsi:type="dcterms:W3CDTF">2026-06-24T04:46:17Z</dcterms:created>
  <dcterms:modified xsi:type="dcterms:W3CDTF">2026-06-24T04:47:05Z</dcterms:modified>
</cp:coreProperties>
</file>