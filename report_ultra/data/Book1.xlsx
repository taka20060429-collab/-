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Box\物理学実験D班\"/>
    </mc:Choice>
  </mc:AlternateContent>
  <xr:revisionPtr revIDLastSave="0" documentId="8_{6E13185F-955C-420D-9D4B-BACEB3E68781}" xr6:coauthVersionLast="47" xr6:coauthVersionMax="47" xr10:uidLastSave="{00000000-0000-0000-0000-000000000000}"/>
  <bookViews>
    <workbookView xWindow="-98" yWindow="-98" windowWidth="21795" windowHeight="13875" xr2:uid="{63080266-4F20-4E0E-A2F9-A5912F857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E9" i="1" s="1"/>
  <c r="E11" i="1"/>
  <c r="E7" i="1"/>
  <c r="E6" i="1"/>
  <c r="E5" i="1"/>
  <c r="C1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<sst xmlns="http://schemas.openxmlformats.org/spreadsheetml/2006/main" count="17" uniqueCount="17">
  <si>
    <t>実験１</t>
    <rPh sb="0" eb="2">
      <t>ジッケン</t>
    </rPh>
    <phoneticPr fontId="1"/>
  </si>
  <si>
    <t>1回目</t>
    <rPh sb="1" eb="3">
      <t>カイメ</t>
    </rPh>
    <phoneticPr fontId="1"/>
  </si>
  <si>
    <t>[cm]</t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</si>
  <si>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</si>
  <si>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</si>
  <si>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4回目</t>
    <rPh sb="1" eb="3">
      <t>カイメ</t>
    </rPh>
    <phoneticPr fontId="1"/>
  </si>
  <si>
    <t>5回目</t>
    <rPh sb="1" eb="3">
      <t>カイメ</t>
    </rPh>
    <phoneticPr fontId="1"/>
  </si>
  <si>
    <t>6回目</t>
    <rPh sb="1" eb="3">
      <t>カイメ</t>
    </rPh>
    <phoneticPr fontId="1"/>
  </si>
  <si>
    <t>7回目</t>
    <rPh sb="1" eb="3">
      <t>カイメ</t>
    </rPh>
    <phoneticPr fontId="1"/>
  </si>
  <si>
    <t>8回目</t>
    <rPh sb="1" eb="3">
      <t>カイメ</t>
    </rPh>
    <phoneticPr fontId="1"/>
  </si>
  <si>
    <t>9回目</t>
    <rPh sb="1" eb="3">
      <t>カイメ</t>
    </rPh>
    <phoneticPr fontId="1"/>
  </si>
  <si>
    <t>10回目</t>
    <rPh sb="2" eb="4">
      <t>カイメ</t>
    </rPh>
    <phoneticPr fontId="1"/>
  </si>
  <si>
    <t>理論値</t>
    <rPh sb="0" eb="3">
      <t>リロンチ</t>
    </rPh>
    <phoneticPr fontId="1"/>
  </si>
  <si>
    <t>実測値</t>
    <rPh sb="0" eb="3">
      <t>ジッソクチ</t>
    </rPh>
    <phoneticPr fontId="1"/>
  </si>
  <si>
    <t>室温[℃]</t>
    <rPh sb="0" eb="2">
      <t>シツオン</t>
    </rPh>
    <phoneticPr fontId="1"/>
  </si>
  <si>
    <t>λ[m]</t>
    <phoneticPr fontId="1"/>
  </si>
  <si>
    <t>実験2</t>
    <rPh sb="0" eb="2">
      <t>ジッケン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</si>
</sst>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87DA-EDD9-4C6D-923D-2ACD2416A66A}">
  <dimension ref="A1:G15"/>
  <sheetViews>
    <sheetView tabSelected="1" workbookViewId="0">
      <selection activeCell="G1" sqref="G1"/>
    </sheetView>
  </sheetViews>
  <sheetFormatPr defaultRowHeight="17.649999999999999" x14ac:dyDescent="0.7"/>
  <sheetData>
    <row r="1" spans="1:7" x14ac:dyDescent="0.7">
      <c r="A1" t="s">
        <v>0</v>
      </c>
      <c r="B1" t="s">
        <v>2</v>
      </c>
      <c r="E1" t="s">
        <v>14</v>
      </c>
      <c r="G1" t="s">
        <v>16</v>
      </c>
    </row>
    <row r="2" spans="1:7" x14ac:dyDescent="0.7">
      <c r="A2" t="s">
        <v>1</v>
      </c>
      <c r="B2">
        <v>11.7</v>
      </c>
      <c r="C2">
        <f>B7-B2</f>
        <v>4.2000000000000011</v>
      </c>
      <c r="E2">
        <v>24.4</v>
      </c>
    </row>
    <row r="3" spans="1:7" x14ac:dyDescent="0.7">
      <c r="A3" t="s">
        <v>3</v>
      </c>
      <c r="B3">
        <v>12.5</v>
      </c>
      <c r="C3">
        <f t="shared" ref="C3:C6" si="0">B8-B3</f>
        <v>4.1999999999999993</v>
      </c>
    </row>
    <row r="4" spans="1:7" x14ac:dyDescent="0.7">
      <c r="A4" t="s">
        <v>4</v>
      </c>
      <c r="B4">
        <v>13.6</v>
      </c>
      <c r="C4">
        <f t="shared" si="0"/>
        <v>4.0000000000000018</v>
      </c>
    </row>
    <row r="5" spans="1:7" x14ac:dyDescent="0.7">
      <c r="A5" t="s">
        <v>5</v>
      </c>
      <c r="B5">
        <v>14.2</v>
      </c>
      <c r="C5">
        <f t="shared" si="0"/>
        <v>4.3000000000000007</v>
      </c>
      <c r="E5">
        <f>0.00002*6</f>
        <v>1.2000000000000002E-4</v>
      </c>
    </row>
    <row r="6" spans="1:7" x14ac:dyDescent="0.7">
      <c r="A6" t="s">
        <v>6</v>
      </c>
      <c r="B6">
        <v>15.1</v>
      </c>
      <c r="C6">
        <f t="shared" si="0"/>
        <v>4.2000000000000011</v>
      </c>
      <c r="E6">
        <f>E5/5</f>
        <v>2.4000000000000004E-5</v>
      </c>
    </row>
    <row r="7" spans="1:7" x14ac:dyDescent="0.7">
      <c r="A7" t="s">
        <v>7</v>
      </c>
      <c r="B7">
        <v>15.9</v>
      </c>
      <c r="E7">
        <f>1/E6</f>
        <v>41666.666666666657</v>
      </c>
    </row>
    <row r="8" spans="1:7" x14ac:dyDescent="0.7">
      <c r="A8" t="s">
        <v>8</v>
      </c>
      <c r="B8">
        <v>16.7</v>
      </c>
      <c r="E8" t="s">
        <v>13</v>
      </c>
    </row>
    <row r="9" spans="1:7" x14ac:dyDescent="0.7">
      <c r="A9" t="s">
        <v>9</v>
      </c>
      <c r="B9">
        <v>17.600000000000001</v>
      </c>
      <c r="E9">
        <f>E7*C13</f>
        <v>34833.333333333336</v>
      </c>
    </row>
    <row r="10" spans="1:7" x14ac:dyDescent="0.7">
      <c r="A10" t="s">
        <v>10</v>
      </c>
      <c r="B10">
        <v>18.5</v>
      </c>
      <c r="E10" t="s">
        <v>12</v>
      </c>
    </row>
    <row r="11" spans="1:7" x14ac:dyDescent="0.7">
      <c r="A11" t="s">
        <v>11</v>
      </c>
      <c r="B11">
        <v>19.3</v>
      </c>
      <c r="E11">
        <f>331+0.6*E2</f>
        <v>345.64</v>
      </c>
    </row>
    <row r="12" spans="1:7" x14ac:dyDescent="0.7">
      <c r="C12">
        <f>AVERAGE(C2:C6)</f>
        <v>4.1800000000000015</v>
      </c>
    </row>
    <row r="13" spans="1:7" x14ac:dyDescent="0.7">
      <c r="C13">
        <f>C12/5</f>
        <v>0.8360000000000003</v>
      </c>
    </row>
    <row r="14" spans="1:7" x14ac:dyDescent="0.7">
      <c r="C14" t="s">
        <v>15</v>
      </c>
    </row>
    <row r="15" spans="1:7" x14ac:dyDescent="0.7">
      <c r="C15">
        <v>8.3599999999999994E-3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木元　喜紹</dc:creator>
  <cp:lastModifiedBy>木元　喜紹</cp:lastModifiedBy>
  <dcterms:created xsi:type="dcterms:W3CDTF">2026-10-14T03:51:43Z</dcterms:created>
  <dcterms:modified xsi:type="dcterms:W3CDTF">2026-10-14T06:12:58Z</dcterms:modified>
</cp:coreProperties>
</file>